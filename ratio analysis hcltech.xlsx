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CHARITA BISWAS\Desktop\classwork\4bbaft sapm\"/>
    </mc:Choice>
  </mc:AlternateContent>
  <xr:revisionPtr revIDLastSave="0" documentId="8_{7AEE7FB5-922C-4344-8DAF-33A9889E9E49}" xr6:coauthVersionLast="47" xr6:coauthVersionMax="47" xr10:uidLastSave="{00000000-0000-0000-0000-000000000000}"/>
  <bookViews>
    <workbookView xWindow="-108" yWindow="-108" windowWidth="23256" windowHeight="12456" activeTab="1" xr2:uid="{AF4E82D9-6DC2-4A9A-87D2-8EDF4B751338}"/>
  </bookViews>
  <sheets>
    <sheet name="Financial data" sheetId="1" r:id="rId1"/>
    <sheet name="Ratio analysis" sheetId="2" r:id="rId2"/>
    <sheet name="Shareholding pattern " sheetId="3" r:id="rId3"/>
    <sheet name="Valua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4" l="1"/>
  <c r="B4" i="4"/>
  <c r="B2" i="4"/>
  <c r="F6" i="2"/>
  <c r="E6" i="2"/>
  <c r="D6" i="2"/>
  <c r="C6" i="2"/>
  <c r="B6" i="2"/>
  <c r="F5" i="2"/>
  <c r="E5" i="2"/>
  <c r="D5" i="2"/>
  <c r="C5" i="2"/>
  <c r="B5" i="2"/>
  <c r="F4" i="2"/>
  <c r="E4" i="2"/>
  <c r="D4" i="2"/>
  <c r="C4" i="2"/>
  <c r="B4" i="2"/>
  <c r="F2" i="2"/>
  <c r="E2" i="2"/>
  <c r="D2" i="2"/>
  <c r="C2" i="2"/>
  <c r="F3" i="2"/>
  <c r="E3" i="2"/>
  <c r="D3" i="2"/>
  <c r="C3" i="2"/>
  <c r="B3" i="2"/>
  <c r="B2" i="2"/>
  <c r="J6" i="1"/>
  <c r="J5" i="1"/>
  <c r="J4" i="1"/>
  <c r="J3" i="1"/>
  <c r="J2" i="1"/>
  <c r="I2" i="1"/>
  <c r="I6" i="1"/>
  <c r="I5" i="1"/>
  <c r="I4" i="1"/>
  <c r="I3" i="1"/>
</calcChain>
</file>

<file path=xl/sharedStrings.xml><?xml version="1.0" encoding="utf-8"?>
<sst xmlns="http://schemas.openxmlformats.org/spreadsheetml/2006/main" count="45" uniqueCount="40">
  <si>
    <t>Year</t>
  </si>
  <si>
    <t>FY 2020</t>
  </si>
  <si>
    <t>FY 2021</t>
  </si>
  <si>
    <t>FY 2022</t>
  </si>
  <si>
    <t>FY 2024</t>
  </si>
  <si>
    <t>FY 2023</t>
  </si>
  <si>
    <t>Revenue</t>
  </si>
  <si>
    <t>Net profit</t>
  </si>
  <si>
    <t>EBITDA</t>
  </si>
  <si>
    <t>EPS (in INR)</t>
  </si>
  <si>
    <t>Total assets</t>
  </si>
  <si>
    <t>Total equity</t>
  </si>
  <si>
    <t>Total debt</t>
  </si>
  <si>
    <t>Total current assets</t>
  </si>
  <si>
    <t>Total current liabilities</t>
  </si>
  <si>
    <t>Ratio</t>
  </si>
  <si>
    <t>FY20</t>
  </si>
  <si>
    <t>FY21</t>
  </si>
  <si>
    <t>FY22</t>
  </si>
  <si>
    <t>FY23</t>
  </si>
  <si>
    <t>FY24</t>
  </si>
  <si>
    <t>ROE</t>
  </si>
  <si>
    <t>ROCE</t>
  </si>
  <si>
    <t>Asset turnover</t>
  </si>
  <si>
    <t>Current ratio</t>
  </si>
  <si>
    <t>Debt to equity</t>
  </si>
  <si>
    <t>operating profit</t>
  </si>
  <si>
    <t>Category</t>
  </si>
  <si>
    <t>Promoters</t>
  </si>
  <si>
    <t>FIIs</t>
  </si>
  <si>
    <t>DIIs</t>
  </si>
  <si>
    <t>Public</t>
  </si>
  <si>
    <t>Particular</t>
  </si>
  <si>
    <t>Value</t>
  </si>
  <si>
    <t>Industry P/E</t>
  </si>
  <si>
    <t>Intrinsic Value (= EPS × P/E)</t>
  </si>
  <si>
    <t>Current Market Price (CMP)</t>
  </si>
  <si>
    <t>Recommendation</t>
  </si>
  <si>
    <t>LatestEPS</t>
  </si>
  <si>
    <t>₹ 1,436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</si>
</sst>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222F"/>
      <name val="Arial"/>
      <family val="2"/>
    </font>
    <font>
      <sz val="11"/>
      <color rgb="FF22222F"/>
      <name val="Calibri"/>
      <family val="2"/>
      <scheme val="minor"/>
    </font>
    <font>
      <sz val="11"/>
      <color rgb="FF22222F"/>
      <name val="Arial"/>
      <family val="2"/>
    </font>
    <font>
      <sz val="11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DBE4F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3" fontId="2" fillId="3" borderId="0" xfId="0" applyNumberFormat="1" applyFont="1" applyFill="1" applyAlignment="1">
      <alignment horizontal="right" vertical="center" wrapText="1"/>
    </xf>
    <xf numFmtId="3" fontId="3" fillId="3" borderId="1" xfId="0" applyNumberFormat="1" applyFont="1" applyFill="1" applyBorder="1" applyAlignment="1">
      <alignment horizontal="right" vertical="center"/>
    </xf>
    <xf numFmtId="0" fontId="0" fillId="0" borderId="1" xfId="0" applyBorder="1"/>
    <xf numFmtId="3" fontId="3" fillId="2" borderId="1" xfId="0" applyNumberFormat="1" applyFont="1" applyFill="1" applyBorder="1" applyAlignment="1">
      <alignment horizontal="right" vertical="center" wrapText="1"/>
    </xf>
    <xf numFmtId="3" fontId="4" fillId="3" borderId="2" xfId="0" applyNumberFormat="1" applyFont="1" applyFill="1" applyBorder="1" applyAlignment="1">
      <alignment horizontal="right" vertical="center" wrapText="1"/>
    </xf>
    <xf numFmtId="3" fontId="3" fillId="3" borderId="1" xfId="0" applyNumberFormat="1" applyFont="1" applyFill="1" applyBorder="1" applyAlignment="1">
      <alignment horizontal="right" vertical="center" wrapText="1"/>
    </xf>
    <xf numFmtId="0" fontId="2" fillId="3" borderId="0" xfId="0" applyFont="1" applyFill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0" fillId="0" borderId="0" xfId="0" applyNumberFormat="1" applyAlignment="1"/>
    <xf numFmtId="0" fontId="0" fillId="0" borderId="0" xfId="0" applyBorder="1"/>
    <xf numFmtId="3" fontId="2" fillId="2" borderId="0" xfId="0" applyNumberFormat="1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1" fillId="0" borderId="0" xfId="0" applyFont="1"/>
    <xf numFmtId="0" fontId="0" fillId="0" borderId="1" xfId="0" applyFont="1" applyBorder="1"/>
    <xf numFmtId="0" fontId="0" fillId="0" borderId="0" xfId="0" applyFont="1" applyBorder="1"/>
    <xf numFmtId="0" fontId="3" fillId="2" borderId="1" xfId="0" applyNumberFormat="1" applyFont="1" applyFill="1" applyBorder="1" applyAlignment="1"/>
    <xf numFmtId="0" fontId="5" fillId="4" borderId="0" xfId="0" applyFont="1" applyFill="1" applyAlignment="1">
      <alignment horizontal="right" vertical="center" wrapText="1"/>
    </xf>
    <xf numFmtId="3" fontId="5" fillId="4" borderId="0" xfId="0" applyNumberFormat="1" applyFont="1" applyFill="1" applyAlignment="1">
      <alignment horizontal="right" vertical="center" wrapText="1"/>
    </xf>
    <xf numFmtId="3" fontId="0" fillId="0" borderId="0" xfId="0" applyNumberFormat="1" applyFont="1" applyBorder="1"/>
    <xf numFmtId="3" fontId="3" fillId="2" borderId="1" xfId="0" applyNumberFormat="1" applyFont="1" applyFill="1" applyBorder="1" applyAlignment="1"/>
    <xf numFmtId="3" fontId="0" fillId="0" borderId="1" xfId="0" applyNumberFormat="1" applyFont="1" applyBorder="1"/>
    <xf numFmtId="0" fontId="1" fillId="5" borderId="1" xfId="0" applyFont="1" applyFill="1" applyBorder="1"/>
    <xf numFmtId="0" fontId="1" fillId="5" borderId="3" xfId="0" applyFont="1" applyFill="1" applyBorder="1"/>
    <xf numFmtId="0" fontId="0" fillId="0" borderId="4" xfId="0" applyFont="1" applyBorder="1"/>
    <xf numFmtId="3" fontId="0" fillId="0" borderId="4" xfId="0" applyNumberFormat="1" applyFont="1" applyBorder="1"/>
    <xf numFmtId="3" fontId="3" fillId="3" borderId="0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Border="1" applyAlignment="1">
      <alignment horizontal="right" vertical="center" wrapText="1"/>
    </xf>
    <xf numFmtId="3" fontId="3" fillId="3" borderId="0" xfId="0" applyNumberFormat="1" applyFont="1" applyFill="1" applyBorder="1" applyAlignment="1">
      <alignment horizontal="right" vertical="center" wrapText="1"/>
    </xf>
    <xf numFmtId="0" fontId="3" fillId="3" borderId="0" xfId="0" applyFont="1" applyFill="1" applyBorder="1" applyAlignment="1">
      <alignment horizontal="righ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10" fontId="3" fillId="3" borderId="1" xfId="0" applyNumberFormat="1" applyFont="1" applyFill="1" applyBorder="1" applyAlignment="1">
      <alignment horizontal="right" vertical="center" wrapText="1"/>
    </xf>
    <xf numFmtId="10" fontId="3" fillId="2" borderId="1" xfId="0" applyNumberFormat="1" applyFont="1" applyFill="1" applyBorder="1" applyAlignment="1">
      <alignment horizontal="right" vertical="center" wrapText="1"/>
    </xf>
    <xf numFmtId="0" fontId="0" fillId="4" borderId="1" xfId="0" applyFill="1" applyBorder="1" applyAlignment="1">
      <alignment vertical="center" wrapText="1"/>
    </xf>
    <xf numFmtId="0" fontId="0" fillId="0" borderId="1" xfId="0" applyFont="1" applyBorder="1" applyAlignment="1">
      <alignment horizontal="right"/>
    </xf>
    <xf numFmtId="0" fontId="0" fillId="4" borderId="1" xfId="0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'Financial data'!$B$2:$B$6</c:f>
              <c:numCache>
                <c:formatCode>#,##0</c:formatCode>
                <c:ptCount val="5"/>
                <c:pt idx="0">
                  <c:v>70676</c:v>
                </c:pt>
                <c:pt idx="1">
                  <c:v>75379</c:v>
                </c:pt>
                <c:pt idx="2">
                  <c:v>85651</c:v>
                </c:pt>
                <c:pt idx="3">
                  <c:v>101456</c:v>
                </c:pt>
                <c:pt idx="4">
                  <c:v>109913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53-43DD-A67E-6B6531657DB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4961535"/>
        <c:axId val="164962015"/>
      </c:lineChart>
      <c:catAx>
        <c:axId val="1649615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62015"/>
        <c:crosses val="autoZero"/>
        <c:auto val="1"/>
        <c:lblAlgn val="ctr"/>
        <c:lblOffset val="100"/>
        <c:noMultiLvlLbl val="0"/>
      </c:catAx>
      <c:valAx>
        <c:axId val="16496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6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664260717410319E-2"/>
          <c:y val="0.19486111111111112"/>
          <c:w val="0.88389129483814521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'Ratio analysis'!$A$2</c:f>
              <c:strCache>
                <c:ptCount val="1"/>
                <c:pt idx="0">
                  <c:v>ROE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'Ratio analysis'!$B$2:$F$2</c:f>
              <c:numCache>
                <c:formatCode>General</c:formatCode>
                <c:ptCount val="5"/>
                <c:pt idx="0">
                  <c:v>0.2156748005539626</c:v>
                </c:pt>
                <c:pt idx="1">
                  <c:v>0.18642030944870061</c:v>
                </c:pt>
                <c:pt idx="2">
                  <c:v>0.21841586717059147</c:v>
                </c:pt>
                <c:pt idx="3">
                  <c:v>0.22697041510587876</c:v>
                </c:pt>
                <c:pt idx="4">
                  <c:v>0.23003821767970364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EB-44B6-A39F-36F13B40E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987935"/>
        <c:axId val="164988895"/>
      </c:lineChart>
      <c:catAx>
        <c:axId val="1649879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88895"/>
        <c:crosses val="autoZero"/>
        <c:auto val="1"/>
        <c:lblAlgn val="ctr"/>
        <c:lblOffset val="100"/>
        <c:noMultiLvlLbl val="0"/>
      </c:catAx>
      <c:valAx>
        <c:axId val="16498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87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601980</xdr:colOff>
      <xdr:row>0</xdr:row>
      <xdr:rowOff>156210</xdr:rowOff>
    </xdr:from>
    <xdr:to>
      <xdr:col>14</xdr:col>
      <xdr:colOff>76200</xdr:colOff>
      <xdr:row>15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0FB1E3-9876-772A-F55E-365F9206AA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129540</xdr:colOff>
      <xdr:row>7</xdr:row>
      <xdr:rowOff>3810</xdr:rowOff>
    </xdr:from>
    <xdr:to>
      <xdr:col>6</xdr:col>
      <xdr:colOff>388620</xdr:colOff>
      <xdr:row>20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47F6EC-568B-9E1F-3B19-2DFE59DC07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ED49F-EB5B-4185-8485-782DB90914E3}">
  <dimension ref="A1:S14"/>
  <sheetViews>
    <sheetView workbookViewId="0">
      <selection activeCell="B2" sqref="B2"/>
    </sheetView>
  </sheetViews>
  <sheetFormatPr defaultRowHeight="14.4" x14ac:dyDescent="0.3"/>
  <cols>
    <col min="1" max="1" width="7.77734375" bestFit="1" customWidth="1"/>
    <col min="2" max="2" width="8" bestFit="1" customWidth="1"/>
    <col min="3" max="3" width="9" bestFit="1" customWidth="1"/>
    <col min="4" max="4" width="7.77734375" bestFit="1" customWidth="1"/>
    <col min="5" max="5" width="10.33203125" bestFit="1" customWidth="1"/>
    <col min="6" max="7" width="10.6640625" bestFit="1" customWidth="1"/>
    <col min="8" max="8" width="9.33203125" bestFit="1" customWidth="1"/>
    <col min="9" max="9" width="17.21875" bestFit="1" customWidth="1"/>
    <col min="10" max="10" width="19.33203125" bestFit="1" customWidth="1"/>
    <col min="11" max="11" width="14.33203125" bestFit="1" customWidth="1"/>
  </cols>
  <sheetData>
    <row r="1" spans="1:19" x14ac:dyDescent="0.3">
      <c r="A1" s="22" t="s">
        <v>0</v>
      </c>
      <c r="B1" s="22" t="s">
        <v>6</v>
      </c>
      <c r="C1" s="22" t="s">
        <v>7</v>
      </c>
      <c r="D1" s="23" t="s">
        <v>8</v>
      </c>
      <c r="E1" s="22" t="s">
        <v>9</v>
      </c>
      <c r="F1" s="22" t="s">
        <v>10</v>
      </c>
      <c r="G1" s="22" t="s">
        <v>11</v>
      </c>
      <c r="H1" s="22" t="s">
        <v>12</v>
      </c>
      <c r="I1" s="22" t="s">
        <v>13</v>
      </c>
      <c r="J1" s="22" t="s">
        <v>14</v>
      </c>
      <c r="K1" s="23" t="s">
        <v>26</v>
      </c>
    </row>
    <row r="2" spans="1:19" x14ac:dyDescent="0.3">
      <c r="A2" s="3" t="s">
        <v>1</v>
      </c>
      <c r="B2" s="2">
        <v>70676</v>
      </c>
      <c r="C2" s="4">
        <v>11057</v>
      </c>
      <c r="D2" s="6">
        <v>17316</v>
      </c>
      <c r="E2" s="8">
        <v>40.75</v>
      </c>
      <c r="F2" s="4">
        <v>82819</v>
      </c>
      <c r="G2" s="14">
        <v>51267</v>
      </c>
      <c r="H2" s="6">
        <v>7986</v>
      </c>
      <c r="I2" s="16">
        <f>SUM(E10:E14)</f>
        <v>37863</v>
      </c>
      <c r="J2" s="20">
        <f>SUM(M8:M10)</f>
        <v>23412</v>
      </c>
      <c r="K2" s="6">
        <v>17316</v>
      </c>
      <c r="L2" s="9"/>
    </row>
    <row r="3" spans="1:19" x14ac:dyDescent="0.3">
      <c r="A3" s="3" t="s">
        <v>2</v>
      </c>
      <c r="B3" s="2">
        <v>75379</v>
      </c>
      <c r="C3" s="4">
        <v>11169</v>
      </c>
      <c r="D3" s="6">
        <v>20048</v>
      </c>
      <c r="E3" s="8">
        <v>41.07</v>
      </c>
      <c r="F3" s="4">
        <v>86047</v>
      </c>
      <c r="G3" s="14">
        <v>59913</v>
      </c>
      <c r="H3" s="6">
        <v>6864</v>
      </c>
      <c r="I3" s="14">
        <f>SUM(F10:F14)</f>
        <v>41728</v>
      </c>
      <c r="J3" s="21">
        <f>SUM(N8:N10)</f>
        <v>19101</v>
      </c>
      <c r="K3" s="6">
        <v>20048</v>
      </c>
    </row>
    <row r="4" spans="1:19" x14ac:dyDescent="0.3">
      <c r="A4" s="3" t="s">
        <v>3</v>
      </c>
      <c r="B4" s="2">
        <v>85651</v>
      </c>
      <c r="C4" s="4">
        <v>13523</v>
      </c>
      <c r="D4" s="6">
        <v>20529</v>
      </c>
      <c r="E4" s="8">
        <v>49.74</v>
      </c>
      <c r="F4" s="4">
        <v>88921</v>
      </c>
      <c r="G4" s="3">
        <v>61914</v>
      </c>
      <c r="H4" s="6">
        <v>6343</v>
      </c>
      <c r="I4" s="14">
        <f>SUM(G10:G14)</f>
        <v>47364</v>
      </c>
      <c r="J4" s="21">
        <f>SUM(O8:O10)</f>
        <v>20572</v>
      </c>
      <c r="K4" s="6">
        <v>20529</v>
      </c>
    </row>
    <row r="5" spans="1:19" x14ac:dyDescent="0.3">
      <c r="A5" s="3" t="s">
        <v>5</v>
      </c>
      <c r="B5" s="2">
        <v>101456</v>
      </c>
      <c r="C5" s="4">
        <v>14845</v>
      </c>
      <c r="D5" s="6">
        <v>22628</v>
      </c>
      <c r="E5" s="8">
        <v>54.73</v>
      </c>
      <c r="F5" s="4">
        <v>93250</v>
      </c>
      <c r="G5" s="3">
        <v>65405</v>
      </c>
      <c r="H5" s="6">
        <v>4794</v>
      </c>
      <c r="I5" s="24">
        <f>SUM(H10:H14)</f>
        <v>53096</v>
      </c>
      <c r="J5" s="25">
        <f>SUM(P8:P10)</f>
        <v>23058</v>
      </c>
      <c r="K5" s="6">
        <v>22628</v>
      </c>
    </row>
    <row r="6" spans="1:19" x14ac:dyDescent="0.3">
      <c r="A6" s="3" t="s">
        <v>4</v>
      </c>
      <c r="B6" s="2">
        <v>109913</v>
      </c>
      <c r="C6" s="4">
        <v>15710</v>
      </c>
      <c r="D6" s="6">
        <v>24198</v>
      </c>
      <c r="E6" s="8">
        <v>57.86</v>
      </c>
      <c r="F6" s="4">
        <v>99006</v>
      </c>
      <c r="G6" s="3">
        <v>68293</v>
      </c>
      <c r="H6" s="6">
        <v>5758</v>
      </c>
      <c r="I6" s="14">
        <f>SUM(I10:I14)</f>
        <v>56698</v>
      </c>
      <c r="J6" s="21">
        <f>SUM(Q8:Q10)</f>
        <v>24977</v>
      </c>
      <c r="K6" s="6">
        <v>24198</v>
      </c>
    </row>
    <row r="7" spans="1:19" ht="15" thickBot="1" x14ac:dyDescent="0.35">
      <c r="A7" s="10"/>
      <c r="B7" s="26"/>
      <c r="C7" s="27"/>
      <c r="D7" s="28"/>
      <c r="E7" s="29"/>
      <c r="F7" s="27"/>
      <c r="G7" s="10"/>
      <c r="H7" s="28"/>
      <c r="I7" s="15"/>
      <c r="J7" s="19"/>
    </row>
    <row r="8" spans="1:19" x14ac:dyDescent="0.3">
      <c r="A8" s="5"/>
      <c r="B8" s="5"/>
      <c r="C8" s="5"/>
      <c r="D8" s="5"/>
      <c r="E8" s="5"/>
      <c r="F8" s="5"/>
      <c r="G8" s="5"/>
      <c r="M8" s="18">
        <v>1166</v>
      </c>
      <c r="N8" s="18">
        <v>5457</v>
      </c>
      <c r="O8" s="18">
        <v>6278</v>
      </c>
      <c r="P8" s="18">
        <v>6428</v>
      </c>
      <c r="Q8" s="18">
        <v>5853</v>
      </c>
      <c r="R8" s="18">
        <v>6225</v>
      </c>
      <c r="S8" s="12"/>
    </row>
    <row r="9" spans="1:19" x14ac:dyDescent="0.3">
      <c r="G9" s="1"/>
      <c r="H9" s="1"/>
      <c r="I9" s="1"/>
      <c r="J9" s="1"/>
      <c r="K9" s="1"/>
      <c r="L9" s="1"/>
      <c r="M9" s="17">
        <v>252</v>
      </c>
      <c r="N9" s="17">
        <v>320</v>
      </c>
      <c r="O9" s="17">
        <v>222</v>
      </c>
      <c r="P9" s="17">
        <v>252</v>
      </c>
      <c r="Q9" s="17">
        <v>158</v>
      </c>
      <c r="R9" s="17">
        <v>204</v>
      </c>
      <c r="S9" s="12"/>
    </row>
    <row r="10" spans="1:19" x14ac:dyDescent="0.3">
      <c r="E10" s="17">
        <v>91</v>
      </c>
      <c r="F10" s="17">
        <v>94</v>
      </c>
      <c r="G10" s="17">
        <v>161</v>
      </c>
      <c r="H10" s="17">
        <v>228</v>
      </c>
      <c r="I10" s="17">
        <v>185</v>
      </c>
      <c r="J10" s="17">
        <v>133</v>
      </c>
      <c r="K10" s="7"/>
      <c r="L10" s="11"/>
      <c r="M10" s="18">
        <v>21994</v>
      </c>
      <c r="N10" s="18">
        <v>13324</v>
      </c>
      <c r="O10" s="18">
        <v>14072</v>
      </c>
      <c r="P10" s="18">
        <v>16378</v>
      </c>
      <c r="Q10" s="18">
        <v>18966</v>
      </c>
      <c r="R10" s="18">
        <v>22102</v>
      </c>
      <c r="S10" s="12"/>
    </row>
    <row r="11" spans="1:19" x14ac:dyDescent="0.3">
      <c r="E11" s="18">
        <v>14131</v>
      </c>
      <c r="F11" s="18">
        <v>17525</v>
      </c>
      <c r="G11" s="18">
        <v>20671</v>
      </c>
      <c r="H11" s="18">
        <v>25506</v>
      </c>
      <c r="I11" s="18">
        <v>25521</v>
      </c>
      <c r="J11" s="18">
        <v>25842</v>
      </c>
      <c r="K11" s="7"/>
      <c r="L11" s="13"/>
    </row>
    <row r="12" spans="1:19" x14ac:dyDescent="0.3">
      <c r="E12" s="18">
        <v>4976</v>
      </c>
      <c r="F12" s="18">
        <v>8888</v>
      </c>
      <c r="G12" s="18">
        <v>12636</v>
      </c>
      <c r="H12" s="18">
        <v>14724</v>
      </c>
      <c r="I12" s="18">
        <v>20150</v>
      </c>
      <c r="J12" s="18">
        <v>21289</v>
      </c>
    </row>
    <row r="13" spans="1:19" x14ac:dyDescent="0.3">
      <c r="E13" s="18">
        <v>1459</v>
      </c>
      <c r="F13" s="18">
        <v>1506</v>
      </c>
      <c r="G13" s="18">
        <v>1819</v>
      </c>
      <c r="H13" s="18">
        <v>1967</v>
      </c>
      <c r="I13" s="18">
        <v>2114</v>
      </c>
      <c r="J13" s="18">
        <v>2753</v>
      </c>
    </row>
    <row r="14" spans="1:19" x14ac:dyDescent="0.3">
      <c r="E14" s="18">
        <v>17206</v>
      </c>
      <c r="F14" s="18">
        <v>13715</v>
      </c>
      <c r="G14" s="18">
        <v>12077</v>
      </c>
      <c r="H14" s="18">
        <v>10671</v>
      </c>
      <c r="I14" s="18">
        <v>8728</v>
      </c>
      <c r="J14" s="18">
        <v>10668</v>
      </c>
      <c r="K14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7A5B8-23BB-437C-B70B-6A19E41E3665}">
  <dimension ref="A1:F6"/>
  <sheetViews>
    <sheetView tabSelected="1" workbookViewId="0">
      <selection activeCell="I18" sqref="I18"/>
    </sheetView>
  </sheetViews>
  <sheetFormatPr defaultRowHeight="14.4" x14ac:dyDescent="0.3"/>
  <cols>
    <col min="1" max="1" width="12.77734375" bestFit="1" customWidth="1"/>
    <col min="2" max="2" width="12" bestFit="1" customWidth="1"/>
  </cols>
  <sheetData>
    <row r="1" spans="1:6" x14ac:dyDescent="0.3">
      <c r="A1" s="22" t="s">
        <v>15</v>
      </c>
      <c r="B1" s="22" t="s">
        <v>16</v>
      </c>
      <c r="C1" s="22" t="s">
        <v>17</v>
      </c>
      <c r="D1" s="22" t="s">
        <v>18</v>
      </c>
      <c r="E1" s="22" t="s">
        <v>19</v>
      </c>
      <c r="F1" s="22" t="s">
        <v>20</v>
      </c>
    </row>
    <row r="2" spans="1:6" x14ac:dyDescent="0.3">
      <c r="A2" s="22" t="s">
        <v>21</v>
      </c>
      <c r="B2" s="3">
        <f>'Financial data'!C2/'Financial data'!G2</f>
        <v>0.2156748005539626</v>
      </c>
      <c r="C2" s="3">
        <f>'Financial data'!C3/'Financial data'!G3</f>
        <v>0.18642030944870061</v>
      </c>
      <c r="D2" s="3">
        <f>'Financial data'!C4/'Financial data'!G4</f>
        <v>0.21841586717059147</v>
      </c>
      <c r="E2" s="3">
        <f>'Financial data'!C5/'Financial data'!G5</f>
        <v>0.22697041510587876</v>
      </c>
      <c r="F2" s="3">
        <f>'Financial data'!C6/'Financial data'!G6</f>
        <v>0.23003821767970364</v>
      </c>
    </row>
    <row r="3" spans="1:6" x14ac:dyDescent="0.3">
      <c r="A3" s="22" t="s">
        <v>22</v>
      </c>
      <c r="B3" s="3">
        <f>'Financial data'!K2/('Financial data'!F2-'Financial data'!J2)</f>
        <v>0.29148080192569897</v>
      </c>
      <c r="C3" s="3">
        <f>'Financial data'!K3/('Financial data'!F3-'Financial data'!J3)</f>
        <v>0.29946524064171121</v>
      </c>
      <c r="D3" s="3">
        <f>'Financial data'!K4/('Financial data'!F4-'Financial data'!J3)</f>
        <v>0.29402749928387284</v>
      </c>
      <c r="E3" s="3">
        <f>'Financial data'!K5/('Financial data'!F5-'Financial data'!J5)</f>
        <v>0.32237291999088213</v>
      </c>
      <c r="F3" s="3">
        <f>'Financial data'!K6/('Financial data'!F6-'Financial data'!J6)</f>
        <v>0.32687190155209445</v>
      </c>
    </row>
    <row r="4" spans="1:6" x14ac:dyDescent="0.3">
      <c r="A4" s="22" t="s">
        <v>23</v>
      </c>
      <c r="B4" s="3">
        <f>'Financial data'!B2/'Financial data'!F2</f>
        <v>0.85337905553073568</v>
      </c>
      <c r="C4" s="3">
        <f>'Financial data'!B3/'Financial data'!F3</f>
        <v>0.87602124420374916</v>
      </c>
      <c r="D4" s="3">
        <f>'Financial data'!B4/'Financial data'!F4</f>
        <v>0.96322578468528242</v>
      </c>
      <c r="E4" s="3">
        <f>'Financial data'!B5/'Financial data'!F5</f>
        <v>1.0880000000000001</v>
      </c>
      <c r="F4" s="3">
        <f>'Financial data'!B6/'Financial data'!F6</f>
        <v>1.1101650405025958</v>
      </c>
    </row>
    <row r="5" spans="1:6" x14ac:dyDescent="0.3">
      <c r="A5" s="22" t="s">
        <v>24</v>
      </c>
      <c r="B5" s="3">
        <f>'Financial data'!I2/'Financial data'!J2</f>
        <v>1.617247565351102</v>
      </c>
      <c r="C5" s="3">
        <f>'Financial data'!I3/'Financial data'!J3</f>
        <v>2.1845976650437149</v>
      </c>
      <c r="D5" s="3">
        <f>'Financial data'!I4/'Financial data'!J4</f>
        <v>2.3023527124246548</v>
      </c>
      <c r="E5" s="3">
        <f>'Financial data'!I5/'Financial data'!J5</f>
        <v>2.3027148928788272</v>
      </c>
      <c r="F5" s="3">
        <f>'Financial data'!I6/'Financial data'!J6</f>
        <v>2.2700084077351161</v>
      </c>
    </row>
    <row r="6" spans="1:6" x14ac:dyDescent="0.3">
      <c r="A6" s="22" t="s">
        <v>25</v>
      </c>
      <c r="B6" s="3">
        <f>'Financial data'!H2/'Financial data'!G2</f>
        <v>0.15577271929311254</v>
      </c>
      <c r="C6" s="3">
        <f>'Financial data'!H3/'Financial data'!G3</f>
        <v>0.11456612087526914</v>
      </c>
      <c r="D6" s="3">
        <f>'Financial data'!H4/'Financial data'!G4</f>
        <v>0.10244855767677746</v>
      </c>
      <c r="E6" s="3">
        <f>'Financial data'!H5/'Financial data'!G5</f>
        <v>7.3297148536044646E-2</v>
      </c>
      <c r="F6" s="3">
        <f>'Financial data'!H6/'Financial data'!G6</f>
        <v>8.4313179974521549E-2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96A9A-56E0-4149-81AA-B680ADDB1941}">
  <dimension ref="A1:G5"/>
  <sheetViews>
    <sheetView workbookViewId="0">
      <selection activeCell="H25" sqref="H25"/>
    </sheetView>
  </sheetViews>
  <sheetFormatPr defaultRowHeight="14.4" x14ac:dyDescent="0.3"/>
  <cols>
    <col min="1" max="1" width="10.88671875" customWidth="1"/>
  </cols>
  <sheetData>
    <row r="1" spans="1:7" x14ac:dyDescent="0.3">
      <c r="A1" s="30" t="s">
        <v>27</v>
      </c>
      <c r="B1" s="30" t="s">
        <v>16</v>
      </c>
      <c r="C1" s="30" t="s">
        <v>17</v>
      </c>
      <c r="D1" s="30" t="s">
        <v>18</v>
      </c>
      <c r="E1" s="30" t="s">
        <v>19</v>
      </c>
      <c r="F1" s="30" t="s">
        <v>20</v>
      </c>
    </row>
    <row r="2" spans="1:7" x14ac:dyDescent="0.3">
      <c r="A2" s="31" t="s">
        <v>28</v>
      </c>
      <c r="B2" s="32">
        <v>0.60329999999999995</v>
      </c>
      <c r="C2" s="32">
        <v>0.60329999999999995</v>
      </c>
      <c r="D2" s="32">
        <v>0.60719999999999996</v>
      </c>
      <c r="E2" s="32">
        <v>0.60819999999999996</v>
      </c>
      <c r="F2" s="32">
        <v>0.60819999999999996</v>
      </c>
      <c r="G2" s="7"/>
    </row>
    <row r="3" spans="1:7" x14ac:dyDescent="0.3">
      <c r="A3" s="31" t="s">
        <v>29</v>
      </c>
      <c r="B3" s="33">
        <v>0.26419999999999999</v>
      </c>
      <c r="C3" s="33">
        <v>0.2414</v>
      </c>
      <c r="D3" s="33">
        <v>0.18970000000000001</v>
      </c>
      <c r="E3" s="33">
        <v>0.18920000000000001</v>
      </c>
      <c r="F3" s="33">
        <v>0.19650000000000001</v>
      </c>
    </row>
    <row r="4" spans="1:7" x14ac:dyDescent="0.3">
      <c r="A4" s="31" t="s">
        <v>30</v>
      </c>
      <c r="B4" s="32">
        <v>9.11E-2</v>
      </c>
      <c r="C4" s="32">
        <v>0.10539999999999999</v>
      </c>
      <c r="D4" s="32">
        <v>0.14680000000000001</v>
      </c>
      <c r="E4" s="32">
        <v>0.15279999999999999</v>
      </c>
      <c r="F4" s="32">
        <v>0.14949999999999999</v>
      </c>
      <c r="G4" s="7"/>
    </row>
    <row r="5" spans="1:7" x14ac:dyDescent="0.3">
      <c r="A5" s="31" t="s">
        <v>31</v>
      </c>
      <c r="B5" s="32">
        <v>4.1000000000000002E-2</v>
      </c>
      <c r="C5" s="32">
        <v>4.9700000000000001E-2</v>
      </c>
      <c r="D5" s="32">
        <v>5.3800000000000001E-2</v>
      </c>
      <c r="E5" s="32">
        <v>4.7399999999999998E-2</v>
      </c>
      <c r="F5" s="32">
        <v>4.3499999999999997E-2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6C1C1-A6FA-47BC-8A05-88BF5F6D4117}">
  <dimension ref="A1:B6"/>
  <sheetViews>
    <sheetView workbookViewId="0">
      <selection activeCell="B20" sqref="B20"/>
    </sheetView>
  </sheetViews>
  <sheetFormatPr defaultRowHeight="14.4" x14ac:dyDescent="0.3"/>
  <cols>
    <col min="1" max="1" width="29.21875" customWidth="1"/>
    <col min="2" max="2" width="32.88671875" customWidth="1"/>
  </cols>
  <sheetData>
    <row r="1" spans="1:2" x14ac:dyDescent="0.3">
      <c r="A1" s="30" t="s">
        <v>32</v>
      </c>
      <c r="B1" s="30" t="s">
        <v>33</v>
      </c>
    </row>
    <row r="2" spans="1:2" x14ac:dyDescent="0.3">
      <c r="A2" s="31" t="s">
        <v>38</v>
      </c>
      <c r="B2" s="34">
        <f>'Financial data'!E6</f>
        <v>57.86</v>
      </c>
    </row>
    <row r="3" spans="1:2" x14ac:dyDescent="0.3">
      <c r="A3" s="31" t="s">
        <v>34</v>
      </c>
      <c r="B3" s="34">
        <v>23.03</v>
      </c>
    </row>
    <row r="4" spans="1:2" x14ac:dyDescent="0.3">
      <c r="A4" s="31" t="s">
        <v>35</v>
      </c>
      <c r="B4" s="34">
        <f>B2*B3</f>
        <v>1332.5158000000001</v>
      </c>
    </row>
    <row r="5" spans="1:2" x14ac:dyDescent="0.3">
      <c r="A5" s="31" t="s">
        <v>36</v>
      </c>
      <c r="B5" s="35" t="s">
        <v>39</v>
      </c>
    </row>
    <row r="6" spans="1:2" x14ac:dyDescent="0.3">
      <c r="A6" s="31" t="s">
        <v>37</v>
      </c>
      <c r="B6" s="36" t="str">
        <f>IF(B4&gt;B5,"buy","sell")</f>
        <v>sell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Financial data</vt:lpstr>
      <vt:lpstr>Ratio analysis</vt:lpstr>
      <vt:lpstr>Shareholding pattern </vt:lpstr>
      <vt:lpstr>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SANCHARITA BISWAS</dc:creator>
  <cp:lastModifiedBy>SANCHARITA BISWAS</cp:lastModifiedBy>
  <dcterms:created xsi:type="dcterms:W3CDTF">2026-02-22T17:40:19Z</dcterms:created>
  <dcterms:modified xsi:type="dcterms:W3CDTF">2026-02-22T21:03:17Z</dcterms:modified>
</cp:coreProperties>
</file>