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xr:revisionPtr revIDLastSave="0" documentId="8_{842C33D3-5787-4E67-9419-16D3AB2DDBE1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3" r:id="rId1"/>
    <sheet name="Sheet2" sheetId="4" r:id="rId2"/>
  </sheets>
  <externalReferences>
    <externalReference r:id="rId3"/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4" l="1"/>
  <c r="B7" i="4"/>
  <c r="F3" i="4"/>
  <c r="F2" i="4"/>
  <c r="E2" i="4"/>
  <c r="D2" i="4"/>
  <c r="C3" i="4"/>
  <c r="C2" i="4"/>
  <c r="B3" i="4"/>
  <c r="B2" i="4"/>
  <c r="M4" i="3"/>
  <c r="M2" i="3"/>
  <c r="M1" i="3"/>
  <c r="M5" i="3"/>
  <c r="M3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F4" i="3"/>
  <c r="F1" i="3"/>
  <c r="F2" i="3"/>
  <c r="C250" i="3"/>
  <c r="F5" i="3"/>
  <c r="F3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M6" i="3" l="1"/>
  <c r="F6" i="3"/>
</calcChain>
</file>

<file path=xl/sharedStrings.xml><?xml version="1.0" encoding="utf-8"?>
<sst xmlns="http://schemas.openxmlformats.org/spreadsheetml/2006/main" count="28" uniqueCount="19">
  <si>
    <t xml:space="preserve">Date </t>
  </si>
  <si>
    <t xml:space="preserve">close </t>
  </si>
  <si>
    <t>returns</t>
  </si>
  <si>
    <t>average</t>
  </si>
  <si>
    <t>no. of days</t>
  </si>
  <si>
    <t>annualised avg  return</t>
  </si>
  <si>
    <t xml:space="preserve">annualised avg return </t>
  </si>
  <si>
    <t>standard deviation</t>
  </si>
  <si>
    <t>square root</t>
  </si>
  <si>
    <t>annualsed standard deviation</t>
  </si>
  <si>
    <t>annualised standard deviation</t>
  </si>
  <si>
    <t>stock</t>
  </si>
  <si>
    <t>covariance</t>
  </si>
  <si>
    <t>correlation</t>
  </si>
  <si>
    <t>weight</t>
  </si>
  <si>
    <t>lloyd metals&amp; energy ltd</t>
  </si>
  <si>
    <t>ajanta pharma</t>
  </si>
  <si>
    <t>portfolio return</t>
  </si>
  <si>
    <t>portfolio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</si>
</sst>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 applyAlignment="1"/>
    <xf numFmtId="15" fontId="1" fillId="0" borderId="1" xfId="0" applyNumberFormat="1" applyFont="1" applyBorder="1" applyAlignment="1"/>
    <xf numFmtId="4" fontId="1" fillId="0" borderId="1" xfId="0" applyNumberFormat="1" applyFont="1" applyBorder="1" applyAlignment="1"/>
    <xf numFmtId="0" fontId="0" fillId="0" borderId="0" xfId="0" applyBorder="1"/>
    <xf numFmtId="15" fontId="1" fillId="0" borderId="2" xfId="0" applyNumberFormat="1" applyFont="1" applyBorder="1" applyAlignment="1"/>
    <xf numFmtId="0" fontId="1" fillId="0" borderId="2" xfId="0" applyFont="1" applyBorder="1" applyAlignment="1"/>
    <xf numFmtId="0" fontId="1" fillId="2" borderId="1" xfId="0" applyFont="1" applyFill="1" applyBorder="1" applyAlignment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quant%20finan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E858-9965-45FB-827B-25DD8265D1CD}">
  <dimension ref="A1:M259"/>
  <sheetViews>
    <sheetView workbookViewId="0">
      <selection activeCell="D12" sqref="D12"/>
    </sheetView>
  </sheetViews>
  <sheetFormatPr defaultRowHeight="15"/>
  <cols>
    <col min="1" max="1" width="18.140625" customWidth="1"/>
    <col min="2" max="2" width="16.140625" customWidth="1"/>
    <col min="5" max="5" width="20.28515625" customWidth="1"/>
    <col min="6" max="6" width="25.85546875" customWidth="1"/>
    <col min="8" max="8" width="18.140625" customWidth="1"/>
    <col min="9" max="9" width="20.7109375" customWidth="1"/>
    <col min="10" max="10" width="18.5703125" customWidth="1"/>
    <col min="12" max="12" width="18.42578125" customWidth="1"/>
    <col min="13" max="13" width="22.85546875" customWidth="1"/>
  </cols>
  <sheetData>
    <row r="1" spans="1:13">
      <c r="A1" s="9" t="s">
        <v>0</v>
      </c>
      <c r="B1" s="9" t="s">
        <v>1</v>
      </c>
      <c r="C1" s="10" t="s">
        <v>2</v>
      </c>
      <c r="E1" s="10" t="s">
        <v>3</v>
      </c>
      <c r="F1" s="1">
        <f>AVERAGE(C2:C251)</f>
        <v>1.4750779963120376E-3</v>
      </c>
      <c r="H1" s="9" t="s">
        <v>0</v>
      </c>
      <c r="I1" s="9" t="s">
        <v>1</v>
      </c>
      <c r="J1" s="10" t="s">
        <v>2</v>
      </c>
      <c r="L1" s="10" t="s">
        <v>3</v>
      </c>
      <c r="M1" s="1">
        <f>AVERAGE(J2:J251)</f>
        <v>-1.0112510232854228E-3</v>
      </c>
    </row>
    <row r="2" spans="1:13">
      <c r="A2" s="4">
        <v>45944</v>
      </c>
      <c r="B2" s="5">
        <v>1323.4</v>
      </c>
      <c r="C2" s="1">
        <f>(B2-B3)/B3</f>
        <v>4.6306839747970365E-3</v>
      </c>
      <c r="E2" s="10" t="s">
        <v>4</v>
      </c>
      <c r="F2" s="1">
        <f>COUNT(C1:C251)</f>
        <v>249</v>
      </c>
      <c r="H2" s="4">
        <v>45944</v>
      </c>
      <c r="I2" s="5">
        <v>2392</v>
      </c>
      <c r="J2" s="1">
        <f>(I2-I3)/I3</f>
        <v>-1.1161637040099214E-2</v>
      </c>
      <c r="L2" s="10" t="s">
        <v>4</v>
      </c>
      <c r="M2" s="1">
        <f>COUNT(J2:J251)</f>
        <v>249</v>
      </c>
    </row>
    <row r="3" spans="1:13">
      <c r="A3" s="4">
        <v>45943</v>
      </c>
      <c r="B3" s="5">
        <v>1317.3</v>
      </c>
      <c r="C3" s="1">
        <f t="shared" ref="C3:C66" si="0">(B3-B4)/B4</f>
        <v>-2.0011902990626461E-2</v>
      </c>
      <c r="E3" s="11" t="s">
        <v>5</v>
      </c>
      <c r="F3" s="1">
        <f>(1+F1)^F2-1</f>
        <v>0.44343226260959012</v>
      </c>
      <c r="H3" s="4">
        <v>45943</v>
      </c>
      <c r="I3" s="5">
        <v>2419</v>
      </c>
      <c r="J3" s="1">
        <f t="shared" ref="J3:J66" si="1">(I3-I4)/I4</f>
        <v>-6.2443513269245824E-3</v>
      </c>
      <c r="L3" s="10" t="s">
        <v>6</v>
      </c>
      <c r="M3" s="1">
        <f>(1+M1)^M2-1</f>
        <v>-0.22270000405370372</v>
      </c>
    </row>
    <row r="4" spans="1:13">
      <c r="A4" s="4">
        <v>45940</v>
      </c>
      <c r="B4" s="5">
        <v>1344.2</v>
      </c>
      <c r="C4" s="1">
        <f t="shared" si="0"/>
        <v>-4.3700466632100319E-3</v>
      </c>
      <c r="E4" s="11" t="s">
        <v>7</v>
      </c>
      <c r="F4" s="1">
        <f>STDEV(C2:C251)</f>
        <v>2.6415714326062538E-2</v>
      </c>
      <c r="H4" s="4">
        <v>45940</v>
      </c>
      <c r="I4" s="5">
        <v>2434.1999999999998</v>
      </c>
      <c r="J4" s="1">
        <f t="shared" si="1"/>
        <v>5.3692383941847024E-3</v>
      </c>
      <c r="L4" s="10" t="s">
        <v>7</v>
      </c>
      <c r="M4" s="1">
        <f>STDEV(J2:J251)</f>
        <v>2.1478202073088783E-2</v>
      </c>
    </row>
    <row r="5" spans="1:13">
      <c r="A5" s="4">
        <v>45939</v>
      </c>
      <c r="B5" s="5">
        <v>1350.1</v>
      </c>
      <c r="C5" s="1">
        <f t="shared" si="0"/>
        <v>4.182421483139117E-2</v>
      </c>
      <c r="E5" s="10" t="s">
        <v>8</v>
      </c>
      <c r="F5" s="1">
        <f>SQRT(F2)</f>
        <v>15.779733838059499</v>
      </c>
      <c r="H5" s="4">
        <v>45939</v>
      </c>
      <c r="I5" s="5">
        <v>2421.1999999999998</v>
      </c>
      <c r="J5" s="1">
        <f t="shared" si="1"/>
        <v>4.2306097055163075E-3</v>
      </c>
      <c r="L5" s="10" t="s">
        <v>8</v>
      </c>
      <c r="M5" s="1">
        <f>SQRT(M2)</f>
        <v>15.779733838059499</v>
      </c>
    </row>
    <row r="6" spans="1:13">
      <c r="A6" s="4">
        <v>45938</v>
      </c>
      <c r="B6" s="5">
        <v>1295.9000000000001</v>
      </c>
      <c r="C6" s="1">
        <f t="shared" si="0"/>
        <v>-1.1819429617202988E-2</v>
      </c>
      <c r="E6" s="10" t="s">
        <v>9</v>
      </c>
      <c r="F6" s="1">
        <f>F4*F5</f>
        <v>0.4168329412074821</v>
      </c>
      <c r="H6" s="4">
        <v>45938</v>
      </c>
      <c r="I6" s="5">
        <v>2411</v>
      </c>
      <c r="J6" s="1">
        <f t="shared" si="1"/>
        <v>-1.9639734883910128E-2</v>
      </c>
      <c r="L6" s="10" t="s">
        <v>10</v>
      </c>
      <c r="M6" s="1">
        <f>(M4*M5)</f>
        <v>0.33892031203339879</v>
      </c>
    </row>
    <row r="7" spans="1:13">
      <c r="A7" s="4">
        <v>45937</v>
      </c>
      <c r="B7" s="5">
        <v>1311.4</v>
      </c>
      <c r="C7" s="1">
        <f t="shared" si="0"/>
        <v>-1.5248551387604309E-4</v>
      </c>
      <c r="H7" s="4">
        <v>45937</v>
      </c>
      <c r="I7" s="5">
        <v>2459.3000000000002</v>
      </c>
      <c r="J7" s="1">
        <f t="shared" si="1"/>
        <v>1.151647266894254E-2</v>
      </c>
    </row>
    <row r="8" spans="1:13">
      <c r="A8" s="4">
        <v>45936</v>
      </c>
      <c r="B8" s="5">
        <v>1311.6</v>
      </c>
      <c r="C8" s="1">
        <f t="shared" si="0"/>
        <v>-5.3341461556050108E-4</v>
      </c>
      <c r="H8" s="4">
        <v>45936</v>
      </c>
      <c r="I8" s="5">
        <v>2431.3000000000002</v>
      </c>
      <c r="J8" s="1">
        <f t="shared" si="1"/>
        <v>1.2282454825547505E-2</v>
      </c>
    </row>
    <row r="9" spans="1:13">
      <c r="A9" s="4">
        <v>45933</v>
      </c>
      <c r="B9" s="5">
        <v>1312.3</v>
      </c>
      <c r="C9" s="1">
        <f t="shared" si="0"/>
        <v>6.1817299134234047E-2</v>
      </c>
      <c r="H9" s="4">
        <v>45933</v>
      </c>
      <c r="I9" s="5">
        <v>2401.8000000000002</v>
      </c>
      <c r="J9" s="1">
        <f t="shared" si="1"/>
        <v>1.5011258443834393E-3</v>
      </c>
    </row>
    <row r="10" spans="1:13">
      <c r="A10" s="4">
        <v>45931</v>
      </c>
      <c r="B10" s="5">
        <v>1235.9000000000001</v>
      </c>
      <c r="C10" s="1">
        <f t="shared" si="0"/>
        <v>8.8979591836735438E-3</v>
      </c>
      <c r="H10" s="4">
        <v>45931</v>
      </c>
      <c r="I10" s="5">
        <v>2398.1999999999998</v>
      </c>
      <c r="J10" s="1">
        <f t="shared" si="1"/>
        <v>-3.3661638199727231E-3</v>
      </c>
    </row>
    <row r="11" spans="1:13">
      <c r="A11" s="4">
        <v>45930</v>
      </c>
      <c r="B11" s="5">
        <v>1225</v>
      </c>
      <c r="C11" s="1">
        <f t="shared" si="0"/>
        <v>-2.4681528662420384E-2</v>
      </c>
      <c r="H11" s="4">
        <v>45930</v>
      </c>
      <c r="I11" s="5">
        <v>2406.3000000000002</v>
      </c>
      <c r="J11" s="1">
        <f t="shared" si="1"/>
        <v>-7.5885676578544307E-3</v>
      </c>
    </row>
    <row r="12" spans="1:13">
      <c r="A12" s="4">
        <v>45929</v>
      </c>
      <c r="B12" s="5">
        <v>1256</v>
      </c>
      <c r="C12" s="1">
        <f t="shared" si="0"/>
        <v>8.0256821829855531E-3</v>
      </c>
      <c r="H12" s="4">
        <v>45929</v>
      </c>
      <c r="I12" s="5">
        <v>2424.6999999999998</v>
      </c>
      <c r="J12" s="1">
        <f t="shared" si="1"/>
        <v>-1.6428687327600194E-2</v>
      </c>
    </row>
    <row r="13" spans="1:13">
      <c r="A13" s="4">
        <v>45926</v>
      </c>
      <c r="B13" s="5">
        <v>1246</v>
      </c>
      <c r="C13" s="1">
        <f t="shared" si="0"/>
        <v>-2.3969920100266263E-2</v>
      </c>
      <c r="H13" s="4">
        <v>45926</v>
      </c>
      <c r="I13" s="5">
        <v>2465.1999999999998</v>
      </c>
      <c r="J13" s="1">
        <f t="shared" si="1"/>
        <v>-9.7212179641681818E-3</v>
      </c>
    </row>
    <row r="14" spans="1:13">
      <c r="A14" s="4">
        <v>45925</v>
      </c>
      <c r="B14" s="5">
        <v>1276.5999999999999</v>
      </c>
      <c r="C14" s="1">
        <f t="shared" si="0"/>
        <v>-2.0110531163647565E-2</v>
      </c>
      <c r="H14" s="4">
        <v>45925</v>
      </c>
      <c r="I14" s="5">
        <v>2489.4</v>
      </c>
      <c r="J14" s="1">
        <f t="shared" si="1"/>
        <v>-1.651390644753466E-2</v>
      </c>
    </row>
    <row r="15" spans="1:13">
      <c r="A15" s="4">
        <v>45924</v>
      </c>
      <c r="B15" s="5">
        <v>1302.8</v>
      </c>
      <c r="C15" s="1">
        <f t="shared" si="0"/>
        <v>-1.1532625189681369E-2</v>
      </c>
      <c r="H15" s="4">
        <v>45924</v>
      </c>
      <c r="I15" s="5">
        <v>2531.1999999999998</v>
      </c>
      <c r="J15" s="1">
        <f t="shared" si="1"/>
        <v>-5.3833156509097693E-3</v>
      </c>
    </row>
    <row r="16" spans="1:13">
      <c r="A16" s="4">
        <v>45923</v>
      </c>
      <c r="B16" s="5">
        <v>1318</v>
      </c>
      <c r="C16" s="1">
        <f t="shared" si="0"/>
        <v>3.5787710347978722E-3</v>
      </c>
      <c r="H16" s="4">
        <v>45923</v>
      </c>
      <c r="I16" s="5">
        <v>2544.9</v>
      </c>
      <c r="J16" s="1">
        <f t="shared" si="1"/>
        <v>2.2448015122874423E-3</v>
      </c>
    </row>
    <row r="17" spans="1:10">
      <c r="A17" s="4">
        <v>45922</v>
      </c>
      <c r="B17" s="5">
        <v>1313.3</v>
      </c>
      <c r="C17" s="1">
        <f t="shared" si="0"/>
        <v>-1.1441475348137031E-2</v>
      </c>
      <c r="H17" s="4">
        <v>45922</v>
      </c>
      <c r="I17" s="5">
        <v>2539.1999999999998</v>
      </c>
      <c r="J17" s="1">
        <f t="shared" si="1"/>
        <v>-2.1221410044801113E-3</v>
      </c>
    </row>
    <row r="18" spans="1:10">
      <c r="A18" s="4">
        <v>45919</v>
      </c>
      <c r="B18" s="5">
        <v>1328.5</v>
      </c>
      <c r="C18" s="1">
        <f t="shared" si="0"/>
        <v>-3.7495313085864268E-3</v>
      </c>
      <c r="H18" s="4">
        <v>45919</v>
      </c>
      <c r="I18" s="5">
        <v>2544.6</v>
      </c>
      <c r="J18" s="1">
        <f t="shared" si="1"/>
        <v>-1.4911316904725246E-3</v>
      </c>
    </row>
    <row r="19" spans="1:10">
      <c r="A19" s="4">
        <v>45918</v>
      </c>
      <c r="B19" s="5">
        <v>1333.5</v>
      </c>
      <c r="C19" s="1">
        <f t="shared" si="0"/>
        <v>-5.0734910094754572E-3</v>
      </c>
      <c r="H19" s="4">
        <v>45918</v>
      </c>
      <c r="I19" s="5">
        <v>2548.4</v>
      </c>
      <c r="J19" s="1">
        <f t="shared" si="1"/>
        <v>-4.8810964895154045E-3</v>
      </c>
    </row>
    <row r="20" spans="1:10">
      <c r="A20" s="4">
        <v>45917</v>
      </c>
      <c r="B20" s="5">
        <v>1340.3</v>
      </c>
      <c r="C20" s="1">
        <f t="shared" si="0"/>
        <v>2.0248154068660963E-2</v>
      </c>
      <c r="H20" s="4">
        <v>45917</v>
      </c>
      <c r="I20" s="5">
        <v>2560.9</v>
      </c>
      <c r="J20" s="1">
        <f t="shared" si="1"/>
        <v>1.9954613037013492E-3</v>
      </c>
    </row>
    <row r="21" spans="1:10">
      <c r="A21" s="4">
        <v>45916</v>
      </c>
      <c r="B21" s="5">
        <v>1313.7</v>
      </c>
      <c r="C21" s="1">
        <f t="shared" si="0"/>
        <v>-6.578947368421087E-3</v>
      </c>
      <c r="H21" s="4">
        <v>45916</v>
      </c>
      <c r="I21" s="5">
        <v>2555.8000000000002</v>
      </c>
      <c r="J21" s="1">
        <f t="shared" si="1"/>
        <v>2.4317540006276567E-3</v>
      </c>
    </row>
    <row r="22" spans="1:10">
      <c r="A22" s="4">
        <v>45915</v>
      </c>
      <c r="B22" s="5">
        <v>1322.4</v>
      </c>
      <c r="C22" s="1">
        <f t="shared" si="0"/>
        <v>1.997686077902051E-2</v>
      </c>
      <c r="H22" s="4">
        <v>45915</v>
      </c>
      <c r="I22" s="5">
        <v>2549.6</v>
      </c>
      <c r="J22" s="1">
        <f t="shared" si="1"/>
        <v>-1.1438098561513706E-2</v>
      </c>
    </row>
    <row r="23" spans="1:10">
      <c r="A23" s="4">
        <v>45912</v>
      </c>
      <c r="B23" s="5">
        <v>1296.5</v>
      </c>
      <c r="C23" s="1">
        <f t="shared" si="0"/>
        <v>-4.9884881043745204E-3</v>
      </c>
      <c r="H23" s="4">
        <v>45912</v>
      </c>
      <c r="I23" s="5">
        <v>2579.1</v>
      </c>
      <c r="J23" s="1">
        <f t="shared" si="1"/>
        <v>2.7604976671850344E-3</v>
      </c>
    </row>
    <row r="24" spans="1:10">
      <c r="A24" s="4">
        <v>45911</v>
      </c>
      <c r="B24" s="5">
        <v>1303</v>
      </c>
      <c r="C24" s="1">
        <f t="shared" si="0"/>
        <v>-8.8993686772648097E-3</v>
      </c>
      <c r="H24" s="4">
        <v>45911</v>
      </c>
      <c r="I24" s="5">
        <v>2572</v>
      </c>
      <c r="J24" s="1">
        <f t="shared" si="1"/>
        <v>-8.4046572596191606E-3</v>
      </c>
    </row>
    <row r="25" spans="1:10">
      <c r="A25" s="4">
        <v>45910</v>
      </c>
      <c r="B25" s="5">
        <v>1314.7</v>
      </c>
      <c r="C25" s="1">
        <f t="shared" si="0"/>
        <v>-1.0637489552464583E-3</v>
      </c>
      <c r="H25" s="4">
        <v>45910</v>
      </c>
      <c r="I25" s="5">
        <v>2593.8000000000002</v>
      </c>
      <c r="J25" s="1">
        <f t="shared" si="1"/>
        <v>1.2688868933744582E-2</v>
      </c>
    </row>
    <row r="26" spans="1:10">
      <c r="A26" s="4">
        <v>45909</v>
      </c>
      <c r="B26" s="5">
        <v>1316.1</v>
      </c>
      <c r="C26" s="1">
        <f t="shared" si="0"/>
        <v>1.0131245682707665E-2</v>
      </c>
      <c r="H26" s="4">
        <v>45909</v>
      </c>
      <c r="I26" s="5">
        <v>2561.3000000000002</v>
      </c>
      <c r="J26" s="1">
        <f t="shared" si="1"/>
        <v>-1.1348284247500536E-2</v>
      </c>
    </row>
    <row r="27" spans="1:10">
      <c r="A27" s="4">
        <v>45908</v>
      </c>
      <c r="B27" s="5">
        <v>1302.9000000000001</v>
      </c>
      <c r="C27" s="1">
        <f t="shared" si="0"/>
        <v>7.3449822174114733E-3</v>
      </c>
      <c r="H27" s="4">
        <v>45908</v>
      </c>
      <c r="I27" s="5">
        <v>2590.6999999999998</v>
      </c>
      <c r="J27" s="1">
        <f t="shared" si="1"/>
        <v>-8.951455567881907E-3</v>
      </c>
    </row>
    <row r="28" spans="1:10">
      <c r="A28" s="4">
        <v>45905</v>
      </c>
      <c r="B28" s="5">
        <v>1293.4000000000001</v>
      </c>
      <c r="C28" s="1">
        <f t="shared" si="0"/>
        <v>-3.6974272069018291E-3</v>
      </c>
      <c r="H28" s="4">
        <v>45905</v>
      </c>
      <c r="I28" s="5">
        <v>2614.1</v>
      </c>
      <c r="J28" s="1">
        <f t="shared" si="1"/>
        <v>5.1524589533587465E-3</v>
      </c>
    </row>
    <row r="29" spans="1:10">
      <c r="A29" s="4">
        <v>45904</v>
      </c>
      <c r="B29" s="5">
        <v>1298.2</v>
      </c>
      <c r="C29" s="1">
        <f t="shared" si="0"/>
        <v>-2.8947565262921717E-2</v>
      </c>
      <c r="H29" s="4">
        <v>45904</v>
      </c>
      <c r="I29" s="5">
        <v>2600.6999999999998</v>
      </c>
      <c r="J29" s="1">
        <f t="shared" si="1"/>
        <v>1.6891495601172951E-2</v>
      </c>
    </row>
    <row r="30" spans="1:10">
      <c r="A30" s="4">
        <v>45903</v>
      </c>
      <c r="B30" s="5">
        <v>1336.9</v>
      </c>
      <c r="C30" s="1">
        <f t="shared" si="0"/>
        <v>1.4339908952959097E-2</v>
      </c>
      <c r="H30" s="4">
        <v>45903</v>
      </c>
      <c r="I30" s="5">
        <v>2557.5</v>
      </c>
      <c r="J30" s="1">
        <f t="shared" si="1"/>
        <v>3.125E-2</v>
      </c>
    </row>
    <row r="31" spans="1:10">
      <c r="A31" s="4">
        <v>45902</v>
      </c>
      <c r="B31" s="5">
        <v>1318</v>
      </c>
      <c r="C31" s="1">
        <f t="shared" si="0"/>
        <v>-7.5301204819277108E-3</v>
      </c>
      <c r="H31" s="4">
        <v>45902</v>
      </c>
      <c r="I31" s="5">
        <v>2480</v>
      </c>
      <c r="J31" s="1">
        <f t="shared" si="1"/>
        <v>1.1419249592169658E-2</v>
      </c>
    </row>
    <row r="32" spans="1:10">
      <c r="A32" s="4">
        <v>45901</v>
      </c>
      <c r="B32" s="5">
        <v>1328</v>
      </c>
      <c r="C32" s="1">
        <f t="shared" si="0"/>
        <v>3.0415890751086319E-2</v>
      </c>
      <c r="H32" s="4">
        <v>45901</v>
      </c>
      <c r="I32" s="5">
        <v>2452</v>
      </c>
      <c r="J32" s="1">
        <f t="shared" si="1"/>
        <v>-1.0332579916047751E-2</v>
      </c>
    </row>
    <row r="33" spans="1:10">
      <c r="A33" s="4">
        <v>45898</v>
      </c>
      <c r="B33" s="5">
        <v>1288.8</v>
      </c>
      <c r="C33" s="1">
        <f t="shared" si="0"/>
        <v>-1.3547646383467313E-2</v>
      </c>
      <c r="H33" s="4">
        <v>45898</v>
      </c>
      <c r="I33" s="5">
        <v>2477.6</v>
      </c>
      <c r="J33" s="1">
        <f t="shared" si="1"/>
        <v>-1.2239365307180269E-2</v>
      </c>
    </row>
    <row r="34" spans="1:10">
      <c r="A34" s="4">
        <v>45897</v>
      </c>
      <c r="B34" s="5">
        <v>1306.5</v>
      </c>
      <c r="C34" s="1">
        <f t="shared" si="0"/>
        <v>-1.5284677111196026E-3</v>
      </c>
      <c r="H34" s="4">
        <v>45897</v>
      </c>
      <c r="I34" s="5">
        <v>2508.3000000000002</v>
      </c>
      <c r="J34" s="1">
        <f t="shared" si="1"/>
        <v>-2.7451436547632789E-2</v>
      </c>
    </row>
    <row r="35" spans="1:10">
      <c r="A35" s="4">
        <v>45895</v>
      </c>
      <c r="B35" s="5">
        <v>1308.5</v>
      </c>
      <c r="C35" s="1">
        <f t="shared" si="0"/>
        <v>-2.4162875680513153E-2</v>
      </c>
      <c r="H35" s="4">
        <v>45895</v>
      </c>
      <c r="I35" s="5">
        <v>2579.1</v>
      </c>
      <c r="J35" s="1">
        <f t="shared" si="1"/>
        <v>-1.636155606407326E-2</v>
      </c>
    </row>
    <row r="36" spans="1:10">
      <c r="A36" s="4">
        <v>45894</v>
      </c>
      <c r="B36" s="5">
        <v>1340.9</v>
      </c>
      <c r="C36" s="1">
        <f t="shared" si="0"/>
        <v>-9.4555662258993534E-3</v>
      </c>
      <c r="H36" s="4">
        <v>45894</v>
      </c>
      <c r="I36" s="5">
        <v>2622</v>
      </c>
      <c r="J36" s="1">
        <f t="shared" si="1"/>
        <v>-6.2535531552018195E-3</v>
      </c>
    </row>
    <row r="37" spans="1:10">
      <c r="A37" s="4">
        <v>45891</v>
      </c>
      <c r="B37" s="5">
        <v>1353.7</v>
      </c>
      <c r="C37" s="1">
        <f t="shared" si="0"/>
        <v>-2.7933362056584709E-2</v>
      </c>
      <c r="H37" s="4">
        <v>45891</v>
      </c>
      <c r="I37" s="5">
        <v>2638.5</v>
      </c>
      <c r="J37" s="1">
        <f t="shared" si="1"/>
        <v>-6.7758328627893849E-3</v>
      </c>
    </row>
    <row r="38" spans="1:10">
      <c r="A38" s="4">
        <v>45890</v>
      </c>
      <c r="B38" s="5">
        <v>1392.6</v>
      </c>
      <c r="C38" s="1">
        <f t="shared" si="0"/>
        <v>-1.7219477769936549E-2</v>
      </c>
      <c r="H38" s="4">
        <v>45890</v>
      </c>
      <c r="I38" s="5">
        <v>2656.5</v>
      </c>
      <c r="J38" s="1">
        <f t="shared" si="1"/>
        <v>-1.0135261020233193E-2</v>
      </c>
    </row>
    <row r="39" spans="1:10">
      <c r="A39" s="4">
        <v>45889</v>
      </c>
      <c r="B39" s="5">
        <v>1417</v>
      </c>
      <c r="C39" s="1">
        <f t="shared" si="0"/>
        <v>1.4171199541940993E-2</v>
      </c>
      <c r="H39" s="4">
        <v>45889</v>
      </c>
      <c r="I39" s="5">
        <v>2683.7</v>
      </c>
      <c r="J39" s="1">
        <f t="shared" si="1"/>
        <v>-7.2503976621168063E-3</v>
      </c>
    </row>
    <row r="40" spans="1:10">
      <c r="A40" s="4">
        <v>45888</v>
      </c>
      <c r="B40" s="5">
        <v>1397.2</v>
      </c>
      <c r="C40" s="1">
        <f t="shared" si="0"/>
        <v>1.2977597331980057E-2</v>
      </c>
      <c r="H40" s="4">
        <v>45888</v>
      </c>
      <c r="I40" s="5">
        <v>2703.3</v>
      </c>
      <c r="J40" s="1">
        <f t="shared" si="1"/>
        <v>4.5707915273133339E-3</v>
      </c>
    </row>
    <row r="41" spans="1:10">
      <c r="A41" s="4">
        <v>45887</v>
      </c>
      <c r="B41" s="5">
        <v>1379.3</v>
      </c>
      <c r="C41" s="1">
        <f t="shared" si="0"/>
        <v>-1.3870022163437542E-2</v>
      </c>
      <c r="H41" s="4">
        <v>45887</v>
      </c>
      <c r="I41" s="5">
        <v>2691</v>
      </c>
      <c r="J41" s="1">
        <f t="shared" si="1"/>
        <v>1.8988048698759853E-3</v>
      </c>
    </row>
    <row r="42" spans="1:10">
      <c r="A42" s="4">
        <v>45883</v>
      </c>
      <c r="B42" s="5">
        <v>1398.7</v>
      </c>
      <c r="C42" s="1">
        <f t="shared" si="0"/>
        <v>-9.9101012246053648E-3</v>
      </c>
      <c r="H42" s="4">
        <v>45883</v>
      </c>
      <c r="I42" s="5">
        <v>2685.9</v>
      </c>
      <c r="J42" s="1">
        <f t="shared" si="1"/>
        <v>5.3149679979040592E-3</v>
      </c>
    </row>
    <row r="43" spans="1:10">
      <c r="A43" s="4">
        <v>45882</v>
      </c>
      <c r="B43" s="5">
        <v>1412.7</v>
      </c>
      <c r="C43" s="1">
        <f t="shared" si="0"/>
        <v>2.3102549246813507E-2</v>
      </c>
      <c r="H43" s="4">
        <v>45882</v>
      </c>
      <c r="I43" s="5">
        <v>2671.7</v>
      </c>
      <c r="J43" s="1">
        <f t="shared" si="1"/>
        <v>-9.4909724539355509E-3</v>
      </c>
    </row>
    <row r="44" spans="1:10">
      <c r="A44" s="4">
        <v>45881</v>
      </c>
      <c r="B44" s="5">
        <v>1380.8</v>
      </c>
      <c r="C44" s="1">
        <f t="shared" si="0"/>
        <v>-6.547233613929157E-3</v>
      </c>
      <c r="H44" s="4">
        <v>45881</v>
      </c>
      <c r="I44" s="5">
        <v>2697.3</v>
      </c>
      <c r="J44" s="1">
        <f t="shared" si="1"/>
        <v>1.8117993432227381E-2</v>
      </c>
    </row>
    <row r="45" spans="1:10">
      <c r="A45" s="4">
        <v>45880</v>
      </c>
      <c r="B45" s="5">
        <v>1389.9</v>
      </c>
      <c r="C45" s="1">
        <f t="shared" si="0"/>
        <v>-7.4269799328714305E-3</v>
      </c>
      <c r="H45" s="4">
        <v>45880</v>
      </c>
      <c r="I45" s="5">
        <v>2649.3</v>
      </c>
      <c r="J45" s="1">
        <f t="shared" si="1"/>
        <v>1.6810592976396154E-2</v>
      </c>
    </row>
    <row r="46" spans="1:10">
      <c r="A46" s="4">
        <v>45877</v>
      </c>
      <c r="B46" s="5">
        <v>1400.3</v>
      </c>
      <c r="C46" s="1">
        <f t="shared" si="0"/>
        <v>-2.1248339973439639E-2</v>
      </c>
      <c r="H46" s="4">
        <v>45877</v>
      </c>
      <c r="I46" s="5">
        <v>2605.5</v>
      </c>
      <c r="J46" s="1">
        <f t="shared" si="1"/>
        <v>-5.1926234202588333E-3</v>
      </c>
    </row>
    <row r="47" spans="1:10">
      <c r="A47" s="4">
        <v>45876</v>
      </c>
      <c r="B47" s="5">
        <v>1430.7</v>
      </c>
      <c r="C47" s="1">
        <f t="shared" si="0"/>
        <v>-1.7308881104471492E-2</v>
      </c>
      <c r="H47" s="4">
        <v>45876</v>
      </c>
      <c r="I47" s="5">
        <v>2619.1</v>
      </c>
      <c r="J47" s="1">
        <f t="shared" si="1"/>
        <v>3.0573699535688916E-2</v>
      </c>
    </row>
    <row r="48" spans="1:10">
      <c r="A48" s="4">
        <v>45875</v>
      </c>
      <c r="B48" s="5">
        <v>1455.9</v>
      </c>
      <c r="C48" s="1">
        <f t="shared" si="0"/>
        <v>3.3078354351872251E-3</v>
      </c>
      <c r="H48" s="4">
        <v>45875</v>
      </c>
      <c r="I48" s="5">
        <v>2541.4</v>
      </c>
      <c r="J48" s="1">
        <f t="shared" si="1"/>
        <v>-3.5814553456256198E-2</v>
      </c>
    </row>
    <row r="49" spans="1:10">
      <c r="A49" s="4">
        <v>45874</v>
      </c>
      <c r="B49" s="5">
        <v>1451.1</v>
      </c>
      <c r="C49" s="1">
        <f t="shared" si="0"/>
        <v>-1.5936525159365254E-2</v>
      </c>
      <c r="H49" s="4">
        <v>45874</v>
      </c>
      <c r="I49" s="5">
        <v>2635.8</v>
      </c>
      <c r="J49" s="1">
        <f t="shared" si="1"/>
        <v>-1.8965975040776846E-4</v>
      </c>
    </row>
    <row r="50" spans="1:10">
      <c r="A50" s="4">
        <v>45873</v>
      </c>
      <c r="B50" s="5">
        <v>1474.6</v>
      </c>
      <c r="C50" s="1">
        <f t="shared" si="0"/>
        <v>2.0060874377421142E-2</v>
      </c>
      <c r="H50" s="4">
        <v>45873</v>
      </c>
      <c r="I50" s="5">
        <v>2636.3</v>
      </c>
      <c r="J50" s="1">
        <f t="shared" si="1"/>
        <v>-2.1853665776194582E-2</v>
      </c>
    </row>
    <row r="51" spans="1:10">
      <c r="A51" s="4">
        <v>45870</v>
      </c>
      <c r="B51" s="5">
        <v>1445.6</v>
      </c>
      <c r="C51" s="1">
        <f t="shared" si="0"/>
        <v>-3.9276932278859665E-2</v>
      </c>
      <c r="H51" s="4">
        <v>45870</v>
      </c>
      <c r="I51" s="5">
        <v>2695.2</v>
      </c>
      <c r="J51" s="1">
        <f t="shared" si="1"/>
        <v>-2.0425964963291514E-2</v>
      </c>
    </row>
    <row r="52" spans="1:10">
      <c r="A52" s="4">
        <v>45869</v>
      </c>
      <c r="B52" s="5">
        <v>1504.7</v>
      </c>
      <c r="C52" s="1">
        <f t="shared" si="0"/>
        <v>-8.8921090765380056E-3</v>
      </c>
      <c r="H52" s="4">
        <v>45869</v>
      </c>
      <c r="I52" s="5">
        <v>2751.4</v>
      </c>
      <c r="J52" s="1">
        <f t="shared" si="1"/>
        <v>-1.7532583467237961E-2</v>
      </c>
    </row>
    <row r="53" spans="1:10">
      <c r="A53" s="4">
        <v>45868</v>
      </c>
      <c r="B53" s="5">
        <v>1518.2</v>
      </c>
      <c r="C53" s="1">
        <f t="shared" si="0"/>
        <v>2.2976888349841747E-2</v>
      </c>
      <c r="H53" s="4">
        <v>45868</v>
      </c>
      <c r="I53" s="5">
        <v>2800.5</v>
      </c>
      <c r="J53" s="1">
        <f t="shared" si="1"/>
        <v>-8.0405213941625881E-3</v>
      </c>
    </row>
    <row r="54" spans="1:10">
      <c r="A54" s="4">
        <v>45867</v>
      </c>
      <c r="B54" s="5">
        <v>1484.1</v>
      </c>
      <c r="C54" s="1">
        <f t="shared" si="0"/>
        <v>9.2485549132947358E-3</v>
      </c>
      <c r="H54" s="4">
        <v>45867</v>
      </c>
      <c r="I54" s="5">
        <v>2823.2</v>
      </c>
      <c r="J54" s="1">
        <f t="shared" si="1"/>
        <v>2.0273932998445994E-2</v>
      </c>
    </row>
    <row r="55" spans="1:10">
      <c r="A55" s="4">
        <v>45866</v>
      </c>
      <c r="B55" s="5">
        <v>1470.5</v>
      </c>
      <c r="C55" s="1">
        <f t="shared" si="0"/>
        <v>-2.2468922422389122E-2</v>
      </c>
      <c r="H55" s="4">
        <v>45866</v>
      </c>
      <c r="I55" s="5">
        <v>2767.1</v>
      </c>
      <c r="J55" s="1">
        <f t="shared" si="1"/>
        <v>-6.1774952411738221E-3</v>
      </c>
    </row>
    <row r="56" spans="1:10">
      <c r="A56" s="4">
        <v>45863</v>
      </c>
      <c r="B56" s="5">
        <v>1504.3</v>
      </c>
      <c r="C56" s="1">
        <f t="shared" si="0"/>
        <v>-1.8977435763662537E-2</v>
      </c>
      <c r="H56" s="4">
        <v>45863</v>
      </c>
      <c r="I56" s="5">
        <v>2784.3</v>
      </c>
      <c r="J56" s="1">
        <f t="shared" si="1"/>
        <v>-4.3269918466599588E-3</v>
      </c>
    </row>
    <row r="57" spans="1:10">
      <c r="A57" s="4">
        <v>45862</v>
      </c>
      <c r="B57" s="5">
        <v>1533.4</v>
      </c>
      <c r="C57" s="1">
        <f t="shared" si="0"/>
        <v>4.322766570605277E-3</v>
      </c>
      <c r="H57" s="4">
        <v>45862</v>
      </c>
      <c r="I57" s="5">
        <v>2796.4</v>
      </c>
      <c r="J57" s="1">
        <f t="shared" si="1"/>
        <v>2.861767086000154E-2</v>
      </c>
    </row>
    <row r="58" spans="1:10">
      <c r="A58" s="4">
        <v>45861</v>
      </c>
      <c r="B58" s="5">
        <v>1526.8</v>
      </c>
      <c r="C58" s="1">
        <f t="shared" si="0"/>
        <v>-2.6130128037627387E-3</v>
      </c>
      <c r="H58" s="4">
        <v>45861</v>
      </c>
      <c r="I58" s="5">
        <v>2718.6</v>
      </c>
      <c r="J58" s="1">
        <f t="shared" si="1"/>
        <v>-7.8102189781022232E-3</v>
      </c>
    </row>
    <row r="59" spans="1:10">
      <c r="A59" s="4">
        <v>45860</v>
      </c>
      <c r="B59" s="5">
        <v>1530.8</v>
      </c>
      <c r="C59" s="1">
        <f t="shared" si="0"/>
        <v>9.1539165685880963E-4</v>
      </c>
      <c r="H59" s="4">
        <v>45860</v>
      </c>
      <c r="I59" s="5">
        <v>2740</v>
      </c>
      <c r="J59" s="1">
        <f t="shared" si="1"/>
        <v>-1.335925965935685E-2</v>
      </c>
    </row>
    <row r="60" spans="1:10">
      <c r="A60" s="4">
        <v>45859</v>
      </c>
      <c r="B60" s="5">
        <v>1529.4</v>
      </c>
      <c r="C60" s="1">
        <f t="shared" si="0"/>
        <v>3.8571234551134176E-2</v>
      </c>
      <c r="H60" s="4">
        <v>45859</v>
      </c>
      <c r="I60" s="5">
        <v>2777.1</v>
      </c>
      <c r="J60" s="1">
        <f t="shared" si="1"/>
        <v>1.5507789959606632E-3</v>
      </c>
    </row>
    <row r="61" spans="1:10">
      <c r="A61" s="4">
        <v>45856</v>
      </c>
      <c r="B61" s="5">
        <v>1472.6</v>
      </c>
      <c r="C61" s="1">
        <f t="shared" si="0"/>
        <v>3.3965083893757218E-4</v>
      </c>
      <c r="H61" s="4">
        <v>45856</v>
      </c>
      <c r="I61" s="5">
        <v>2772.8</v>
      </c>
      <c r="J61" s="1">
        <f t="shared" si="1"/>
        <v>-4.8808498420901195E-3</v>
      </c>
    </row>
    <row r="62" spans="1:10">
      <c r="A62" s="4">
        <v>45855</v>
      </c>
      <c r="B62" s="5">
        <v>1472.1</v>
      </c>
      <c r="C62" s="1">
        <f t="shared" si="0"/>
        <v>-1.0951357162053333E-2</v>
      </c>
      <c r="H62" s="4">
        <v>45855</v>
      </c>
      <c r="I62" s="5">
        <v>2786.4</v>
      </c>
      <c r="J62" s="1">
        <f t="shared" si="1"/>
        <v>-5.0218810531605241E-4</v>
      </c>
    </row>
    <row r="63" spans="1:10">
      <c r="A63" s="4">
        <v>45854</v>
      </c>
      <c r="B63" s="5">
        <v>1488.4</v>
      </c>
      <c r="C63" s="1">
        <f t="shared" si="0"/>
        <v>6.695975650997694E-3</v>
      </c>
      <c r="H63" s="4">
        <v>45854</v>
      </c>
      <c r="I63" s="5">
        <v>2787.8</v>
      </c>
      <c r="J63" s="1">
        <f t="shared" si="1"/>
        <v>3.3398821218074796E-2</v>
      </c>
    </row>
    <row r="64" spans="1:10">
      <c r="A64" s="4">
        <v>45853</v>
      </c>
      <c r="B64" s="5">
        <v>1478.5</v>
      </c>
      <c r="C64" s="1">
        <f t="shared" si="0"/>
        <v>1.352905364270077E-4</v>
      </c>
      <c r="H64" s="4">
        <v>45853</v>
      </c>
      <c r="I64" s="5">
        <v>2697.7</v>
      </c>
      <c r="J64" s="1">
        <f t="shared" si="1"/>
        <v>1.938482466747269E-2</v>
      </c>
    </row>
    <row r="65" spans="1:10">
      <c r="A65" s="4">
        <v>45852</v>
      </c>
      <c r="B65" s="5">
        <v>1478.3</v>
      </c>
      <c r="C65" s="1">
        <f t="shared" si="0"/>
        <v>-7.119349855598184E-3</v>
      </c>
      <c r="H65" s="4">
        <v>45852</v>
      </c>
      <c r="I65" s="5">
        <v>2646.4</v>
      </c>
      <c r="J65" s="1">
        <f t="shared" si="1"/>
        <v>7.5766228821626085E-3</v>
      </c>
    </row>
    <row r="66" spans="1:10">
      <c r="A66" s="4">
        <v>45849</v>
      </c>
      <c r="B66" s="5">
        <v>1488.9</v>
      </c>
      <c r="C66" s="1">
        <f t="shared" si="0"/>
        <v>-2.2068965517241319E-2</v>
      </c>
      <c r="H66" s="4">
        <v>45849</v>
      </c>
      <c r="I66" s="5">
        <v>2626.5</v>
      </c>
      <c r="J66" s="1">
        <f t="shared" si="1"/>
        <v>1.3583915409253971E-2</v>
      </c>
    </row>
    <row r="67" spans="1:10">
      <c r="A67" s="4">
        <v>45848</v>
      </c>
      <c r="B67" s="5">
        <v>1522.5</v>
      </c>
      <c r="C67" s="1">
        <f t="shared" ref="C67:C130" si="2">(B67-B68)/B68</f>
        <v>2.8577219294689874E-2</v>
      </c>
      <c r="H67" s="4">
        <v>45848</v>
      </c>
      <c r="I67" s="5">
        <v>2591.3000000000002</v>
      </c>
      <c r="J67" s="1">
        <f t="shared" ref="J67:J130" si="3">(I67-I68)/I68</f>
        <v>-1.3664738124238596E-2</v>
      </c>
    </row>
    <row r="68" spans="1:10">
      <c r="A68" s="4">
        <v>45847</v>
      </c>
      <c r="B68" s="5">
        <v>1480.2</v>
      </c>
      <c r="C68" s="1">
        <f t="shared" si="2"/>
        <v>-5.4424511187260022E-3</v>
      </c>
      <c r="H68" s="4">
        <v>45847</v>
      </c>
      <c r="I68" s="5">
        <v>2627.2</v>
      </c>
      <c r="J68" s="1">
        <f t="shared" si="3"/>
        <v>6.3586914885466594E-3</v>
      </c>
    </row>
    <row r="69" spans="1:10">
      <c r="A69" s="4">
        <v>45846</v>
      </c>
      <c r="B69" s="5">
        <v>1488.3</v>
      </c>
      <c r="C69" s="1">
        <f t="shared" si="2"/>
        <v>-2.6427683652776927E-2</v>
      </c>
      <c r="H69" s="4">
        <v>45846</v>
      </c>
      <c r="I69" s="5">
        <v>2610.6</v>
      </c>
      <c r="J69" s="1">
        <f t="shared" si="3"/>
        <v>-1.7574229481052299E-2</v>
      </c>
    </row>
    <row r="70" spans="1:10">
      <c r="A70" s="4">
        <v>45845</v>
      </c>
      <c r="B70" s="5">
        <v>1528.7</v>
      </c>
      <c r="C70" s="1">
        <f t="shared" si="2"/>
        <v>-1.609062238527386E-2</v>
      </c>
      <c r="H70" s="4">
        <v>45845</v>
      </c>
      <c r="I70" s="5">
        <v>2657.3</v>
      </c>
      <c r="J70" s="1">
        <f t="shared" si="3"/>
        <v>-1.4171767761083219E-2</v>
      </c>
    </row>
    <row r="71" spans="1:10">
      <c r="A71" s="4">
        <v>45842</v>
      </c>
      <c r="B71" s="5">
        <v>1553.7</v>
      </c>
      <c r="C71" s="1">
        <f t="shared" si="2"/>
        <v>1.469435736677116E-2</v>
      </c>
      <c r="H71" s="4">
        <v>45842</v>
      </c>
      <c r="I71" s="5">
        <v>2695.5</v>
      </c>
      <c r="J71" s="1">
        <f t="shared" si="3"/>
        <v>2.4320729621888658E-2</v>
      </c>
    </row>
    <row r="72" spans="1:10">
      <c r="A72" s="4">
        <v>45841</v>
      </c>
      <c r="B72" s="5">
        <v>1531.2</v>
      </c>
      <c r="C72" s="1">
        <f t="shared" si="2"/>
        <v>3.9997377221166726E-3</v>
      </c>
      <c r="H72" s="4">
        <v>45841</v>
      </c>
      <c r="I72" s="5">
        <v>2631.5</v>
      </c>
      <c r="J72" s="1">
        <f t="shared" si="3"/>
        <v>3.2406135980226729E-2</v>
      </c>
    </row>
    <row r="73" spans="1:10">
      <c r="A73" s="4">
        <v>45840</v>
      </c>
      <c r="B73" s="5">
        <v>1525.1</v>
      </c>
      <c r="C73" s="1">
        <f t="shared" si="2"/>
        <v>-3.4991141483168932E-2</v>
      </c>
      <c r="H73" s="4">
        <v>45840</v>
      </c>
      <c r="I73" s="5">
        <v>2548.9</v>
      </c>
      <c r="J73" s="1">
        <f t="shared" si="3"/>
        <v>1.8460063131817746E-2</v>
      </c>
    </row>
    <row r="74" spans="1:10">
      <c r="A74" s="4">
        <v>45839</v>
      </c>
      <c r="B74" s="5">
        <v>1580.4</v>
      </c>
      <c r="C74" s="1">
        <f t="shared" si="2"/>
        <v>-5.349612939769652E-3</v>
      </c>
      <c r="H74" s="4">
        <v>45839</v>
      </c>
      <c r="I74" s="5">
        <v>2502.6999999999998</v>
      </c>
      <c r="J74" s="1">
        <f t="shared" si="3"/>
        <v>-2.7737850122372905E-2</v>
      </c>
    </row>
    <row r="75" spans="1:10">
      <c r="A75" s="4">
        <v>45838</v>
      </c>
      <c r="B75" s="5">
        <v>1588.9</v>
      </c>
      <c r="C75" s="1">
        <f t="shared" si="2"/>
        <v>2.6156032033066389E-2</v>
      </c>
      <c r="H75" s="4">
        <v>45838</v>
      </c>
      <c r="I75" s="5">
        <v>2574.1</v>
      </c>
      <c r="J75" s="1">
        <f t="shared" si="3"/>
        <v>2.1184591581703532E-2</v>
      </c>
    </row>
    <row r="76" spans="1:10">
      <c r="A76" s="4">
        <v>45835</v>
      </c>
      <c r="B76" s="5">
        <v>1548.4</v>
      </c>
      <c r="C76" s="1">
        <f t="shared" si="2"/>
        <v>2.5839793281659621E-4</v>
      </c>
      <c r="H76" s="4">
        <v>45835</v>
      </c>
      <c r="I76" s="5">
        <v>2520.6999999999998</v>
      </c>
      <c r="J76" s="1">
        <f t="shared" si="3"/>
        <v>-1.8571873539947156E-2</v>
      </c>
    </row>
    <row r="77" spans="1:10">
      <c r="A77" s="4">
        <v>45834</v>
      </c>
      <c r="B77" s="5">
        <v>1548</v>
      </c>
      <c r="C77" s="1">
        <f t="shared" si="2"/>
        <v>1.694915254237285E-2</v>
      </c>
      <c r="H77" s="4">
        <v>45834</v>
      </c>
      <c r="I77" s="5">
        <v>2568.4</v>
      </c>
      <c r="J77" s="1">
        <f t="shared" si="3"/>
        <v>-6.4985300943833082E-3</v>
      </c>
    </row>
    <row r="78" spans="1:10">
      <c r="A78" s="4">
        <v>45833</v>
      </c>
      <c r="B78" s="5">
        <v>1522.2</v>
      </c>
      <c r="C78" s="1">
        <f t="shared" si="2"/>
        <v>-2.7515723270440549E-3</v>
      </c>
      <c r="H78" s="4">
        <v>45833</v>
      </c>
      <c r="I78" s="5">
        <v>2585.1999999999998</v>
      </c>
      <c r="J78" s="1">
        <f t="shared" si="3"/>
        <v>8.1896887918259109E-3</v>
      </c>
    </row>
    <row r="79" spans="1:10">
      <c r="A79" s="4">
        <v>45832</v>
      </c>
      <c r="B79" s="5">
        <v>1526.4</v>
      </c>
      <c r="C79" s="1">
        <f t="shared" si="2"/>
        <v>1.6109705764878208E-2</v>
      </c>
      <c r="H79" s="4">
        <v>45832</v>
      </c>
      <c r="I79" s="5">
        <v>2564.1999999999998</v>
      </c>
      <c r="J79" s="1">
        <f t="shared" si="3"/>
        <v>-2.7291512339672999E-4</v>
      </c>
    </row>
    <row r="80" spans="1:10">
      <c r="A80" s="4">
        <v>45831</v>
      </c>
      <c r="B80" s="5">
        <v>1502.2</v>
      </c>
      <c r="C80" s="1">
        <f t="shared" si="2"/>
        <v>2.3366714353838785E-2</v>
      </c>
      <c r="H80" s="4">
        <v>45831</v>
      </c>
      <c r="I80" s="5">
        <v>2564.9</v>
      </c>
      <c r="J80" s="1">
        <f t="shared" si="3"/>
        <v>-9.0023954872110838E-3</v>
      </c>
    </row>
    <row r="81" spans="1:10">
      <c r="A81" s="4">
        <v>45828</v>
      </c>
      <c r="B81" s="5">
        <v>1467.9</v>
      </c>
      <c r="C81" s="1">
        <f t="shared" si="2"/>
        <v>2.0441537203610106E-4</v>
      </c>
      <c r="H81" s="4">
        <v>45828</v>
      </c>
      <c r="I81" s="5">
        <v>2588.1999999999998</v>
      </c>
      <c r="J81" s="1">
        <f t="shared" si="3"/>
        <v>1.669481871390973E-2</v>
      </c>
    </row>
    <row r="82" spans="1:10">
      <c r="A82" s="4">
        <v>45827</v>
      </c>
      <c r="B82" s="5">
        <v>1467.6</v>
      </c>
      <c r="C82" s="1">
        <f t="shared" si="2"/>
        <v>-2.3617856430044576E-2</v>
      </c>
      <c r="H82" s="4">
        <v>45827</v>
      </c>
      <c r="I82" s="5">
        <v>2545.6999999999998</v>
      </c>
      <c r="J82" s="1">
        <f t="shared" si="3"/>
        <v>-1.3829704811342788E-2</v>
      </c>
    </row>
    <row r="83" spans="1:10">
      <c r="A83" s="4">
        <v>45826</v>
      </c>
      <c r="B83" s="5">
        <v>1503.1</v>
      </c>
      <c r="C83" s="1">
        <f t="shared" si="2"/>
        <v>-1.4102059556605012E-2</v>
      </c>
      <c r="H83" s="4">
        <v>45826</v>
      </c>
      <c r="I83" s="5">
        <v>2581.4</v>
      </c>
      <c r="J83" s="1">
        <f t="shared" si="3"/>
        <v>1.330716388616294E-2</v>
      </c>
    </row>
    <row r="84" spans="1:10">
      <c r="A84" s="4">
        <v>45825</v>
      </c>
      <c r="B84" s="5">
        <v>1524.6</v>
      </c>
      <c r="C84" s="1">
        <f t="shared" si="2"/>
        <v>4.0832455216015659E-3</v>
      </c>
      <c r="H84" s="4">
        <v>45825</v>
      </c>
      <c r="I84" s="5">
        <v>2547.5</v>
      </c>
      <c r="J84" s="1">
        <f t="shared" si="3"/>
        <v>-1.9513509352628675E-2</v>
      </c>
    </row>
    <row r="85" spans="1:10">
      <c r="A85" s="4">
        <v>45824</v>
      </c>
      <c r="B85" s="5">
        <v>1518.4</v>
      </c>
      <c r="C85" s="1">
        <f t="shared" si="2"/>
        <v>2.118501580469433E-2</v>
      </c>
      <c r="H85" s="4">
        <v>45824</v>
      </c>
      <c r="I85" s="5">
        <v>2598.1999999999998</v>
      </c>
      <c r="J85" s="1">
        <f t="shared" si="3"/>
        <v>-1.3666388277275834E-2</v>
      </c>
    </row>
    <row r="86" spans="1:10">
      <c r="A86" s="4">
        <v>45821</v>
      </c>
      <c r="B86" s="5">
        <v>1486.9</v>
      </c>
      <c r="C86" s="1">
        <f t="shared" si="2"/>
        <v>-6.1493215694136882E-3</v>
      </c>
      <c r="H86" s="4">
        <v>45821</v>
      </c>
      <c r="I86" s="5">
        <v>2634.2</v>
      </c>
      <c r="J86" s="1">
        <f t="shared" si="3"/>
        <v>-3.5197597333626471E-2</v>
      </c>
    </row>
    <row r="87" spans="1:10">
      <c r="A87" s="4">
        <v>45820</v>
      </c>
      <c r="B87" s="5">
        <v>1496.1</v>
      </c>
      <c r="C87" s="1">
        <f t="shared" si="2"/>
        <v>-7.4963513334219065E-3</v>
      </c>
      <c r="H87" s="4">
        <v>45820</v>
      </c>
      <c r="I87" s="5">
        <v>2730.3</v>
      </c>
      <c r="J87" s="1">
        <f t="shared" si="3"/>
        <v>3.154752909173341E-2</v>
      </c>
    </row>
    <row r="88" spans="1:10">
      <c r="A88" s="4">
        <v>45819</v>
      </c>
      <c r="B88" s="5">
        <v>1507.4</v>
      </c>
      <c r="C88" s="1">
        <f t="shared" si="2"/>
        <v>-3.315869752636116E-4</v>
      </c>
      <c r="H88" s="4">
        <v>45819</v>
      </c>
      <c r="I88" s="5">
        <v>2646.8</v>
      </c>
      <c r="J88" s="1">
        <f t="shared" si="3"/>
        <v>2.7364825524977678E-2</v>
      </c>
    </row>
    <row r="89" spans="1:10">
      <c r="A89" s="4">
        <v>45818</v>
      </c>
      <c r="B89" s="5">
        <v>1507.9</v>
      </c>
      <c r="C89" s="1">
        <f t="shared" si="2"/>
        <v>1.0385955507906728E-2</v>
      </c>
      <c r="H89" s="4">
        <v>45818</v>
      </c>
      <c r="I89" s="5">
        <v>2576.3000000000002</v>
      </c>
      <c r="J89" s="1">
        <f t="shared" si="3"/>
        <v>-7.1296439031909966E-3</v>
      </c>
    </row>
    <row r="90" spans="1:10">
      <c r="A90" s="4">
        <v>45817</v>
      </c>
      <c r="B90" s="5">
        <v>1492.4</v>
      </c>
      <c r="C90" s="1">
        <f t="shared" si="2"/>
        <v>2.2962505997669476E-2</v>
      </c>
      <c r="H90" s="4">
        <v>45817</v>
      </c>
      <c r="I90" s="5">
        <v>2594.8000000000002</v>
      </c>
      <c r="J90" s="1">
        <f t="shared" si="3"/>
        <v>9.1393458561816968E-3</v>
      </c>
    </row>
    <row r="91" spans="1:10">
      <c r="A91" s="4">
        <v>45814</v>
      </c>
      <c r="B91" s="5">
        <v>1458.9</v>
      </c>
      <c r="C91" s="1">
        <f t="shared" si="2"/>
        <v>-4.4972505891594544E-2</v>
      </c>
      <c r="H91" s="4">
        <v>45814</v>
      </c>
      <c r="I91" s="5">
        <v>2571.3000000000002</v>
      </c>
      <c r="J91" s="1">
        <f t="shared" si="3"/>
        <v>-2.5215299868104582E-3</v>
      </c>
    </row>
    <row r="92" spans="1:10">
      <c r="A92" s="4">
        <v>45813</v>
      </c>
      <c r="B92" s="5">
        <v>1527.6</v>
      </c>
      <c r="C92" s="1">
        <f t="shared" si="2"/>
        <v>1.8399999999999941E-2</v>
      </c>
      <c r="H92" s="4">
        <v>45813</v>
      </c>
      <c r="I92" s="5">
        <v>2577.8000000000002</v>
      </c>
      <c r="J92" s="1">
        <f t="shared" si="3"/>
        <v>-3.3250850603154612E-3</v>
      </c>
    </row>
    <row r="93" spans="1:10">
      <c r="A93" s="4">
        <v>45812</v>
      </c>
      <c r="B93" s="5">
        <v>1500</v>
      </c>
      <c r="C93" s="1">
        <f t="shared" si="2"/>
        <v>4.0149781568545935E-2</v>
      </c>
      <c r="H93" s="4">
        <v>45812</v>
      </c>
      <c r="I93" s="5">
        <v>2586.4</v>
      </c>
      <c r="J93" s="1">
        <f t="shared" si="3"/>
        <v>1.0628321350422115E-2</v>
      </c>
    </row>
    <row r="94" spans="1:10">
      <c r="A94" s="4">
        <v>45811</v>
      </c>
      <c r="B94" s="5">
        <v>1442.1</v>
      </c>
      <c r="C94" s="1">
        <f t="shared" si="2"/>
        <v>6.5459918729220468E-2</v>
      </c>
      <c r="H94" s="4">
        <v>45811</v>
      </c>
      <c r="I94" s="5">
        <v>2559.1999999999998</v>
      </c>
      <c r="J94" s="1">
        <f t="shared" si="3"/>
        <v>2.0360219263899052E-3</v>
      </c>
    </row>
    <row r="95" spans="1:10">
      <c r="A95" s="4">
        <v>45810</v>
      </c>
      <c r="B95" s="5">
        <v>1353.5</v>
      </c>
      <c r="C95" s="1">
        <f t="shared" si="2"/>
        <v>-2.8425812935180469E-2</v>
      </c>
      <c r="H95" s="4">
        <v>45810</v>
      </c>
      <c r="I95" s="5">
        <v>2554</v>
      </c>
      <c r="J95" s="1">
        <f t="shared" si="3"/>
        <v>1.720567149912371E-2</v>
      </c>
    </row>
    <row r="96" spans="1:10">
      <c r="A96" s="4">
        <v>45807</v>
      </c>
      <c r="B96" s="5">
        <v>1393.1</v>
      </c>
      <c r="C96" s="1">
        <f t="shared" si="2"/>
        <v>-1.4432260346657299E-2</v>
      </c>
      <c r="H96" s="4">
        <v>45807</v>
      </c>
      <c r="I96" s="5">
        <v>2510.8000000000002</v>
      </c>
      <c r="J96" s="1">
        <f t="shared" si="3"/>
        <v>-2.5197033816049867E-2</v>
      </c>
    </row>
    <row r="97" spans="1:10">
      <c r="A97" s="4">
        <v>45806</v>
      </c>
      <c r="B97" s="5">
        <v>1413.5</v>
      </c>
      <c r="C97" s="1">
        <f t="shared" si="2"/>
        <v>4.2327262001327408E-2</v>
      </c>
      <c r="H97" s="4">
        <v>45806</v>
      </c>
      <c r="I97" s="5">
        <v>2575.6999999999998</v>
      </c>
      <c r="J97" s="1">
        <f t="shared" si="3"/>
        <v>-5.2908009577509359E-3</v>
      </c>
    </row>
    <row r="98" spans="1:10">
      <c r="A98" s="4">
        <v>45805</v>
      </c>
      <c r="B98" s="5">
        <v>1356.1</v>
      </c>
      <c r="C98" s="1">
        <f t="shared" si="2"/>
        <v>-1.0313075506446342E-3</v>
      </c>
      <c r="H98" s="4">
        <v>45805</v>
      </c>
      <c r="I98" s="5">
        <v>2589.4</v>
      </c>
      <c r="J98" s="1">
        <f t="shared" si="3"/>
        <v>-5.0179488169210145E-4</v>
      </c>
    </row>
    <row r="99" spans="1:10">
      <c r="A99" s="4">
        <v>45804</v>
      </c>
      <c r="B99" s="5">
        <v>1357.5</v>
      </c>
      <c r="C99" s="1">
        <f t="shared" si="2"/>
        <v>6.3009636767976281E-3</v>
      </c>
      <c r="H99" s="4">
        <v>45804</v>
      </c>
      <c r="I99" s="5">
        <v>2590.6999999999998</v>
      </c>
      <c r="J99" s="1">
        <f t="shared" si="3"/>
        <v>-4.6298082487760826E-4</v>
      </c>
    </row>
    <row r="100" spans="1:10">
      <c r="A100" s="4">
        <v>45803</v>
      </c>
      <c r="B100" s="5">
        <v>1349</v>
      </c>
      <c r="C100" s="1">
        <f t="shared" si="2"/>
        <v>7.3178016726403484E-3</v>
      </c>
      <c r="H100" s="4">
        <v>45803</v>
      </c>
      <c r="I100" s="5">
        <v>2591.9</v>
      </c>
      <c r="J100" s="1">
        <f t="shared" si="3"/>
        <v>6.6021981436172276E-3</v>
      </c>
    </row>
    <row r="101" spans="1:10">
      <c r="A101" s="4">
        <v>45800</v>
      </c>
      <c r="B101" s="5">
        <v>1339.2</v>
      </c>
      <c r="C101" s="1">
        <f t="shared" si="2"/>
        <v>7.3717466526252102E-3</v>
      </c>
      <c r="H101" s="4">
        <v>45800</v>
      </c>
      <c r="I101" s="5">
        <v>2574.9</v>
      </c>
      <c r="J101" s="1">
        <f t="shared" si="3"/>
        <v>5.4400621721394636E-4</v>
      </c>
    </row>
    <row r="102" spans="1:10">
      <c r="A102" s="4">
        <v>45799</v>
      </c>
      <c r="B102" s="5">
        <v>1329.4</v>
      </c>
      <c r="C102" s="1">
        <f t="shared" si="2"/>
        <v>6.3588190764572979E-3</v>
      </c>
      <c r="H102" s="4">
        <v>45799</v>
      </c>
      <c r="I102" s="5">
        <v>2573.5</v>
      </c>
      <c r="J102" s="1">
        <f t="shared" si="3"/>
        <v>-2.4413359111414415E-2</v>
      </c>
    </row>
    <row r="103" spans="1:10">
      <c r="A103" s="4">
        <v>45798</v>
      </c>
      <c r="B103" s="5">
        <v>1321</v>
      </c>
      <c r="C103" s="1">
        <f t="shared" si="2"/>
        <v>-3.6204555739930266E-3</v>
      </c>
      <c r="H103" s="4">
        <v>45798</v>
      </c>
      <c r="I103" s="5">
        <v>2637.9</v>
      </c>
      <c r="J103" s="1">
        <f t="shared" si="3"/>
        <v>1.496729511350523E-2</v>
      </c>
    </row>
    <row r="104" spans="1:10">
      <c r="A104" s="4">
        <v>45797</v>
      </c>
      <c r="B104" s="5">
        <v>1325.8</v>
      </c>
      <c r="C104" s="1">
        <f t="shared" si="2"/>
        <v>-3.8319933879330799E-3</v>
      </c>
      <c r="H104" s="4">
        <v>45797</v>
      </c>
      <c r="I104" s="5">
        <v>2599</v>
      </c>
      <c r="J104" s="1">
        <f t="shared" si="3"/>
        <v>-1.1185512098615161E-2</v>
      </c>
    </row>
    <row r="105" spans="1:10">
      <c r="A105" s="4">
        <v>45796</v>
      </c>
      <c r="B105" s="5">
        <v>1330.9</v>
      </c>
      <c r="C105" s="1">
        <f t="shared" si="2"/>
        <v>1.8597887647329087E-2</v>
      </c>
      <c r="H105" s="4">
        <v>45796</v>
      </c>
      <c r="I105" s="5">
        <v>2628.4</v>
      </c>
      <c r="J105" s="1">
        <f t="shared" si="3"/>
        <v>9.525272699339447E-3</v>
      </c>
    </row>
    <row r="106" spans="1:10">
      <c r="A106" s="4">
        <v>45793</v>
      </c>
      <c r="B106" s="5">
        <v>1306.5999999999999</v>
      </c>
      <c r="C106" s="1">
        <f t="shared" si="2"/>
        <v>-5.8586319713916498E-3</v>
      </c>
      <c r="H106" s="4">
        <v>45793</v>
      </c>
      <c r="I106" s="5">
        <v>2603.6</v>
      </c>
      <c r="J106" s="1">
        <f t="shared" si="3"/>
        <v>1.808457424294824E-3</v>
      </c>
    </row>
    <row r="107" spans="1:10">
      <c r="A107" s="4">
        <v>45792</v>
      </c>
      <c r="B107" s="5">
        <v>1314.3</v>
      </c>
      <c r="C107" s="1">
        <f t="shared" si="2"/>
        <v>-1.2398557258791704E-2</v>
      </c>
      <c r="H107" s="4">
        <v>45792</v>
      </c>
      <c r="I107" s="5">
        <v>2598.9</v>
      </c>
      <c r="J107" s="1">
        <f t="shared" si="3"/>
        <v>4.8718246143138492E-3</v>
      </c>
    </row>
    <row r="108" spans="1:10">
      <c r="A108" s="4">
        <v>45791</v>
      </c>
      <c r="B108" s="5">
        <v>1330.8</v>
      </c>
      <c r="C108" s="1">
        <f t="shared" si="2"/>
        <v>5.035516969218623E-2</v>
      </c>
      <c r="H108" s="4">
        <v>45791</v>
      </c>
      <c r="I108" s="5">
        <v>2586.3000000000002</v>
      </c>
      <c r="J108" s="1">
        <f t="shared" si="3"/>
        <v>-2.4684691634202323E-3</v>
      </c>
    </row>
    <row r="109" spans="1:10">
      <c r="A109" s="4">
        <v>45790</v>
      </c>
      <c r="B109" s="5">
        <v>1267</v>
      </c>
      <c r="C109" s="1">
        <f t="shared" si="2"/>
        <v>3.1670625494853522E-3</v>
      </c>
      <c r="H109" s="4">
        <v>45790</v>
      </c>
      <c r="I109" s="5">
        <v>2592.6999999999998</v>
      </c>
      <c r="J109" s="1">
        <f t="shared" si="3"/>
        <v>4.447488216573324E-2</v>
      </c>
    </row>
    <row r="110" spans="1:10">
      <c r="A110" s="4">
        <v>45789</v>
      </c>
      <c r="B110" s="5">
        <v>1263</v>
      </c>
      <c r="C110" s="1">
        <f t="shared" si="2"/>
        <v>7.4436410038281581E-2</v>
      </c>
      <c r="H110" s="4">
        <v>45789</v>
      </c>
      <c r="I110" s="5">
        <v>2482.3000000000002</v>
      </c>
      <c r="J110" s="1">
        <f t="shared" si="3"/>
        <v>-2.190787659088219E-2</v>
      </c>
    </row>
    <row r="111" spans="1:10">
      <c r="A111" s="4">
        <v>45786</v>
      </c>
      <c r="B111" s="5">
        <v>1175.5</v>
      </c>
      <c r="C111" s="1">
        <f t="shared" si="2"/>
        <v>-1.8207633842812959E-2</v>
      </c>
      <c r="H111" s="4">
        <v>45786</v>
      </c>
      <c r="I111" s="5">
        <v>2537.9</v>
      </c>
      <c r="J111" s="1">
        <f t="shared" si="3"/>
        <v>7.4629828113215758E-3</v>
      </c>
    </row>
    <row r="112" spans="1:10">
      <c r="A112" s="4">
        <v>45785</v>
      </c>
      <c r="B112" s="5">
        <v>1197.3</v>
      </c>
      <c r="C112" s="1">
        <f t="shared" si="2"/>
        <v>-2.2612244897959221E-2</v>
      </c>
      <c r="H112" s="4">
        <v>45785</v>
      </c>
      <c r="I112" s="5">
        <v>2519.1</v>
      </c>
      <c r="J112" s="1">
        <f t="shared" si="3"/>
        <v>8.4871291885182821E-3</v>
      </c>
    </row>
    <row r="113" spans="1:10">
      <c r="A113" s="4">
        <v>45784</v>
      </c>
      <c r="B113" s="5">
        <v>1225</v>
      </c>
      <c r="C113" s="1">
        <f t="shared" si="2"/>
        <v>1.3150277065586049E-2</v>
      </c>
      <c r="H113" s="4">
        <v>45784</v>
      </c>
      <c r="I113" s="5">
        <v>2497.9</v>
      </c>
      <c r="J113" s="1">
        <f t="shared" si="3"/>
        <v>-1.1196864877833115E-3</v>
      </c>
    </row>
    <row r="114" spans="1:10">
      <c r="A114" s="4">
        <v>45783</v>
      </c>
      <c r="B114" s="5">
        <v>1209.0999999999999</v>
      </c>
      <c r="C114" s="1">
        <f t="shared" si="2"/>
        <v>-1.6752053346344747E-2</v>
      </c>
      <c r="H114" s="4">
        <v>45783</v>
      </c>
      <c r="I114" s="5">
        <v>2500.6999999999998</v>
      </c>
      <c r="J114" s="1">
        <f t="shared" si="3"/>
        <v>-3.3209618804608404E-2</v>
      </c>
    </row>
    <row r="115" spans="1:10">
      <c r="A115" s="4">
        <v>45782</v>
      </c>
      <c r="B115" s="5">
        <v>1229.7</v>
      </c>
      <c r="C115" s="1">
        <f t="shared" si="2"/>
        <v>3.0330959363217464E-2</v>
      </c>
      <c r="H115" s="4">
        <v>45782</v>
      </c>
      <c r="I115" s="5">
        <v>2586.6</v>
      </c>
      <c r="J115" s="1">
        <f t="shared" si="3"/>
        <v>5.4154417453198633E-4</v>
      </c>
    </row>
    <row r="116" spans="1:10">
      <c r="A116" s="4">
        <v>45779</v>
      </c>
      <c r="B116" s="5">
        <v>1193.5</v>
      </c>
      <c r="C116" s="1">
        <f t="shared" si="2"/>
        <v>-8.0618351063830168E-3</v>
      </c>
      <c r="H116" s="4">
        <v>45779</v>
      </c>
      <c r="I116" s="5">
        <v>2585.1999999999998</v>
      </c>
      <c r="J116" s="1">
        <f t="shared" si="3"/>
        <v>-4.4676841210598311E-2</v>
      </c>
    </row>
    <row r="117" spans="1:10">
      <c r="A117" s="4">
        <v>45777</v>
      </c>
      <c r="B117" s="5">
        <v>1203.2</v>
      </c>
      <c r="C117" s="1">
        <f t="shared" si="2"/>
        <v>0</v>
      </c>
      <c r="H117" s="4">
        <v>45777</v>
      </c>
      <c r="I117" s="5">
        <v>2706.1</v>
      </c>
      <c r="J117" s="1">
        <f t="shared" si="3"/>
        <v>-2.1585074842721912E-2</v>
      </c>
    </row>
    <row r="118" spans="1:10">
      <c r="A118" s="4">
        <v>45776</v>
      </c>
      <c r="B118" s="5">
        <v>1203.2</v>
      </c>
      <c r="C118" s="1">
        <f t="shared" si="2"/>
        <v>-2.9520890466204153E-2</v>
      </c>
      <c r="H118" s="4">
        <v>45776</v>
      </c>
      <c r="I118" s="5">
        <v>2765.8</v>
      </c>
      <c r="J118" s="1">
        <f t="shared" si="3"/>
        <v>-3.387143268953458E-3</v>
      </c>
    </row>
    <row r="119" spans="1:10">
      <c r="A119" s="4">
        <v>45775</v>
      </c>
      <c r="B119" s="5">
        <v>1239.8</v>
      </c>
      <c r="C119" s="1">
        <f t="shared" si="2"/>
        <v>-3.1860065594252661E-2</v>
      </c>
      <c r="H119" s="4">
        <v>45775</v>
      </c>
      <c r="I119" s="5">
        <v>2775.2</v>
      </c>
      <c r="J119" s="1">
        <f t="shared" si="3"/>
        <v>3.7070254110612787E-2</v>
      </c>
    </row>
    <row r="120" spans="1:10">
      <c r="A120" s="4">
        <v>45772</v>
      </c>
      <c r="B120" s="5">
        <v>1280.5999999999999</v>
      </c>
      <c r="C120" s="1">
        <f t="shared" si="2"/>
        <v>-3.4820621043111281E-2</v>
      </c>
      <c r="H120" s="4">
        <v>45772</v>
      </c>
      <c r="I120" s="5">
        <v>2676</v>
      </c>
      <c r="J120" s="1">
        <f t="shared" si="3"/>
        <v>-4.099770642201838E-2</v>
      </c>
    </row>
    <row r="121" spans="1:10">
      <c r="A121" s="4">
        <v>45771</v>
      </c>
      <c r="B121" s="5">
        <v>1326.8</v>
      </c>
      <c r="C121" s="1">
        <f t="shared" si="2"/>
        <v>6.9059725278894351E-3</v>
      </c>
      <c r="H121" s="4">
        <v>45771</v>
      </c>
      <c r="I121" s="5">
        <v>2790.4</v>
      </c>
      <c r="J121" s="1">
        <f t="shared" si="3"/>
        <v>3.7747777901744203E-2</v>
      </c>
    </row>
    <row r="122" spans="1:10">
      <c r="A122" s="4">
        <v>45770</v>
      </c>
      <c r="B122" s="5">
        <v>1317.7</v>
      </c>
      <c r="C122" s="1">
        <f t="shared" si="2"/>
        <v>-1.5154959460483442E-3</v>
      </c>
      <c r="H122" s="4">
        <v>45770</v>
      </c>
      <c r="I122" s="5">
        <v>2688.9</v>
      </c>
      <c r="J122" s="1">
        <f t="shared" si="3"/>
        <v>2.4605748797673298E-3</v>
      </c>
    </row>
    <row r="123" spans="1:10">
      <c r="A123" s="4">
        <v>45769</v>
      </c>
      <c r="B123" s="5">
        <v>1319.7</v>
      </c>
      <c r="C123" s="1">
        <f t="shared" si="2"/>
        <v>2.3419930205506045E-2</v>
      </c>
      <c r="H123" s="4">
        <v>45769</v>
      </c>
      <c r="I123" s="5">
        <v>2682.3</v>
      </c>
      <c r="J123" s="1">
        <f t="shared" si="3"/>
        <v>1.1570618094955075E-3</v>
      </c>
    </row>
    <row r="124" spans="1:10">
      <c r="A124" s="4">
        <v>45768</v>
      </c>
      <c r="B124" s="5">
        <v>1289.5</v>
      </c>
      <c r="C124" s="1">
        <f t="shared" si="2"/>
        <v>2.5656974032031987E-3</v>
      </c>
      <c r="H124" s="4">
        <v>45768</v>
      </c>
      <c r="I124" s="5">
        <v>2679.2</v>
      </c>
      <c r="J124" s="1">
        <f t="shared" si="3"/>
        <v>-5.7151339716470318E-3</v>
      </c>
    </row>
    <row r="125" spans="1:10">
      <c r="A125" s="4">
        <v>45764</v>
      </c>
      <c r="B125" s="5">
        <v>1286.2</v>
      </c>
      <c r="C125" s="1">
        <f t="shared" si="2"/>
        <v>1.6353866521300027E-3</v>
      </c>
      <c r="H125" s="4">
        <v>45764</v>
      </c>
      <c r="I125" s="5">
        <v>2694.6</v>
      </c>
      <c r="J125" s="1">
        <f t="shared" si="3"/>
        <v>2.2618595825426909E-2</v>
      </c>
    </row>
    <row r="126" spans="1:10">
      <c r="A126" s="4">
        <v>45763</v>
      </c>
      <c r="B126" s="5">
        <v>1284.0999999999999</v>
      </c>
      <c r="C126" s="1">
        <f t="shared" si="2"/>
        <v>3.690245478036161E-2</v>
      </c>
      <c r="H126" s="4">
        <v>45763</v>
      </c>
      <c r="I126" s="5">
        <v>2635</v>
      </c>
      <c r="J126" s="1">
        <f t="shared" si="3"/>
        <v>4.4983226593474316E-3</v>
      </c>
    </row>
    <row r="127" spans="1:10">
      <c r="A127" s="4">
        <v>45762</v>
      </c>
      <c r="B127" s="5">
        <v>1238.4000000000001</v>
      </c>
      <c r="C127" s="1">
        <f t="shared" si="2"/>
        <v>3.4284043930346335E-2</v>
      </c>
      <c r="H127" s="4">
        <v>45762</v>
      </c>
      <c r="I127" s="5">
        <v>2623.2</v>
      </c>
      <c r="J127" s="1">
        <f t="shared" si="3"/>
        <v>2.2530599516644472E-2</v>
      </c>
    </row>
    <row r="128" spans="1:10">
      <c r="A128" s="4">
        <v>45758</v>
      </c>
      <c r="B128" s="5">
        <v>1197.3499999999999</v>
      </c>
      <c r="C128" s="1">
        <f t="shared" si="2"/>
        <v>3.9772480569666931E-2</v>
      </c>
      <c r="H128" s="4">
        <v>45758</v>
      </c>
      <c r="I128" s="5">
        <v>2565.4</v>
      </c>
      <c r="J128" s="1">
        <f t="shared" si="3"/>
        <v>3.8560411311053984E-2</v>
      </c>
    </row>
    <row r="129" spans="1:10">
      <c r="A129" s="4">
        <v>45756</v>
      </c>
      <c r="B129" s="5">
        <v>1151.55</v>
      </c>
      <c r="C129" s="1">
        <f t="shared" si="2"/>
        <v>-3.6319511276622529E-2</v>
      </c>
      <c r="H129" s="4">
        <v>45756</v>
      </c>
      <c r="I129" s="5">
        <v>2470.15</v>
      </c>
      <c r="J129" s="1">
        <f t="shared" si="3"/>
        <v>-9.8408626287728902E-3</v>
      </c>
    </row>
    <row r="130" spans="1:10">
      <c r="A130" s="4">
        <v>45755</v>
      </c>
      <c r="B130" s="5">
        <v>1194.95</v>
      </c>
      <c r="C130" s="1">
        <f t="shared" si="2"/>
        <v>6.854153626039533E-2</v>
      </c>
      <c r="H130" s="4">
        <v>45755</v>
      </c>
      <c r="I130" s="5">
        <v>2494.6999999999998</v>
      </c>
      <c r="J130" s="1">
        <f t="shared" si="3"/>
        <v>5.0643306871064879E-2</v>
      </c>
    </row>
    <row r="131" spans="1:10">
      <c r="A131" s="4">
        <v>45754</v>
      </c>
      <c r="B131" s="5">
        <v>1118.3</v>
      </c>
      <c r="C131" s="1">
        <f t="shared" ref="C131:C194" si="4">(B131-B132)/B132</f>
        <v>-9.7999677367317309E-2</v>
      </c>
      <c r="H131" s="4">
        <v>45754</v>
      </c>
      <c r="I131" s="5">
        <v>2374.4499999999998</v>
      </c>
      <c r="J131" s="1">
        <f t="shared" ref="J131:J194" si="5">(I131-I132)/I132</f>
        <v>-4.4583039935620232E-2</v>
      </c>
    </row>
    <row r="132" spans="1:10">
      <c r="A132" s="4">
        <v>45751</v>
      </c>
      <c r="B132" s="5">
        <v>1239.8</v>
      </c>
      <c r="C132" s="1">
        <f t="shared" si="4"/>
        <v>-6.1077662917944704E-2</v>
      </c>
      <c r="H132" s="4">
        <v>45751</v>
      </c>
      <c r="I132" s="5">
        <v>2485.25</v>
      </c>
      <c r="J132" s="1">
        <f t="shared" si="5"/>
        <v>-5.1847471529672125E-2</v>
      </c>
    </row>
    <row r="133" spans="1:10">
      <c r="A133" s="4">
        <v>45750</v>
      </c>
      <c r="B133" s="5">
        <v>1320.45</v>
      </c>
      <c r="C133" s="1">
        <f t="shared" si="4"/>
        <v>-7.0311325011279211E-3</v>
      </c>
      <c r="H133" s="4">
        <v>45750</v>
      </c>
      <c r="I133" s="5">
        <v>2621.15</v>
      </c>
      <c r="J133" s="1">
        <f t="shared" si="5"/>
        <v>1.2988253270939131E-3</v>
      </c>
    </row>
    <row r="134" spans="1:10">
      <c r="A134" s="4">
        <v>45749</v>
      </c>
      <c r="B134" s="5">
        <v>1329.8</v>
      </c>
      <c r="C134" s="1">
        <f t="shared" si="4"/>
        <v>4.1469240709558715E-2</v>
      </c>
      <c r="H134" s="4">
        <v>45749</v>
      </c>
      <c r="I134" s="5">
        <v>2617.75</v>
      </c>
      <c r="J134" s="1">
        <f t="shared" si="5"/>
        <v>1.3372048597841714E-4</v>
      </c>
    </row>
    <row r="135" spans="1:10">
      <c r="A135" s="4">
        <v>45748</v>
      </c>
      <c r="B135" s="5">
        <v>1276.8499999999999</v>
      </c>
      <c r="C135" s="1">
        <f t="shared" si="4"/>
        <v>-8.079238687123784E-3</v>
      </c>
      <c r="H135" s="4">
        <v>45748</v>
      </c>
      <c r="I135" s="5">
        <v>2617.4</v>
      </c>
      <c r="J135" s="1">
        <f t="shared" si="5"/>
        <v>-2.1349599695005372E-3</v>
      </c>
    </row>
    <row r="136" spans="1:10">
      <c r="A136" s="4">
        <v>45744</v>
      </c>
      <c r="B136" s="5">
        <v>1287.25</v>
      </c>
      <c r="C136" s="1">
        <f t="shared" si="4"/>
        <v>-6.9867639638247943E-4</v>
      </c>
      <c r="H136" s="4">
        <v>45744</v>
      </c>
      <c r="I136" s="5">
        <v>2623</v>
      </c>
      <c r="J136" s="1">
        <f t="shared" si="5"/>
        <v>-2.490920499705342E-3</v>
      </c>
    </row>
    <row r="137" spans="1:10">
      <c r="A137" s="4">
        <v>45743</v>
      </c>
      <c r="B137" s="5">
        <v>1288.1500000000001</v>
      </c>
      <c r="C137" s="1">
        <f t="shared" si="4"/>
        <v>1.7335334070447041E-2</v>
      </c>
      <c r="H137" s="4">
        <v>45743</v>
      </c>
      <c r="I137" s="5">
        <v>2629.55</v>
      </c>
      <c r="J137" s="1">
        <f t="shared" si="5"/>
        <v>-3.6371298739372615E-2</v>
      </c>
    </row>
    <row r="138" spans="1:10">
      <c r="A138" s="4">
        <v>45742</v>
      </c>
      <c r="B138" s="5">
        <v>1266.2</v>
      </c>
      <c r="C138" s="1">
        <f t="shared" si="4"/>
        <v>-1.016260162601626E-2</v>
      </c>
      <c r="H138" s="4">
        <v>45742</v>
      </c>
      <c r="I138" s="5">
        <v>2728.8</v>
      </c>
      <c r="J138" s="1">
        <f t="shared" si="5"/>
        <v>-1.6400533467901813E-2</v>
      </c>
    </row>
    <row r="139" spans="1:10">
      <c r="A139" s="4">
        <v>45741</v>
      </c>
      <c r="B139" s="5">
        <v>1279.2</v>
      </c>
      <c r="C139" s="1">
        <f t="shared" si="4"/>
        <v>-2.0370654005207468E-2</v>
      </c>
      <c r="H139" s="4">
        <v>45741</v>
      </c>
      <c r="I139" s="5">
        <v>2774.3</v>
      </c>
      <c r="J139" s="1">
        <f t="shared" si="5"/>
        <v>2.2941165844760072E-3</v>
      </c>
    </row>
    <row r="140" spans="1:10">
      <c r="A140" s="4">
        <v>45740</v>
      </c>
      <c r="B140" s="5">
        <v>1305.8</v>
      </c>
      <c r="C140" s="1">
        <f t="shared" si="4"/>
        <v>-4.8393857409595974E-3</v>
      </c>
      <c r="H140" s="4">
        <v>45740</v>
      </c>
      <c r="I140" s="5">
        <v>2767.95</v>
      </c>
      <c r="J140" s="1">
        <f t="shared" si="5"/>
        <v>1.9840831214767294E-2</v>
      </c>
    </row>
    <row r="141" spans="1:10">
      <c r="A141" s="4">
        <v>45737</v>
      </c>
      <c r="B141" s="5">
        <v>1312.15</v>
      </c>
      <c r="C141" s="1">
        <f t="shared" si="4"/>
        <v>4.3957355398201919E-2</v>
      </c>
      <c r="H141" s="4">
        <v>45737</v>
      </c>
      <c r="I141" s="5">
        <v>2714.1</v>
      </c>
      <c r="J141" s="1">
        <f t="shared" si="5"/>
        <v>3.3411388428808045E-2</v>
      </c>
    </row>
    <row r="142" spans="1:10">
      <c r="A142" s="4">
        <v>45736</v>
      </c>
      <c r="B142" s="5">
        <v>1256.9000000000001</v>
      </c>
      <c r="C142" s="1">
        <f t="shared" si="4"/>
        <v>5.962623554363956E-3</v>
      </c>
      <c r="H142" s="4">
        <v>45736</v>
      </c>
      <c r="I142" s="5">
        <v>2626.35</v>
      </c>
      <c r="J142" s="1">
        <f t="shared" si="5"/>
        <v>1.4680648236415287E-3</v>
      </c>
    </row>
    <row r="143" spans="1:10">
      <c r="A143" s="4">
        <v>45735</v>
      </c>
      <c r="B143" s="5">
        <v>1249.45</v>
      </c>
      <c r="C143" s="1">
        <f t="shared" si="4"/>
        <v>4.4603294038960073E-2</v>
      </c>
      <c r="H143" s="4">
        <v>45735</v>
      </c>
      <c r="I143" s="5">
        <v>2622.5</v>
      </c>
      <c r="J143" s="1">
        <f t="shared" si="5"/>
        <v>7.7817273513305796E-3</v>
      </c>
    </row>
    <row r="144" spans="1:10">
      <c r="A144" s="4">
        <v>45734</v>
      </c>
      <c r="B144" s="5">
        <v>1196.0999999999999</v>
      </c>
      <c r="C144" s="1">
        <f t="shared" si="4"/>
        <v>6.4193247030561729E-2</v>
      </c>
      <c r="H144" s="4">
        <v>45734</v>
      </c>
      <c r="I144" s="5">
        <v>2602.25</v>
      </c>
      <c r="J144" s="1">
        <f t="shared" si="5"/>
        <v>9.8569959446611535E-3</v>
      </c>
    </row>
    <row r="145" spans="1:10">
      <c r="A145" s="4">
        <v>45733</v>
      </c>
      <c r="B145" s="5">
        <v>1123.95</v>
      </c>
      <c r="C145" s="1">
        <f t="shared" si="4"/>
        <v>1.9165626671421743E-3</v>
      </c>
      <c r="H145" s="4">
        <v>45733</v>
      </c>
      <c r="I145" s="5">
        <v>2576.85</v>
      </c>
      <c r="J145" s="1">
        <f t="shared" si="5"/>
        <v>1.5207327883384185E-2</v>
      </c>
    </row>
    <row r="146" spans="1:10">
      <c r="A146" s="4">
        <v>45729</v>
      </c>
      <c r="B146" s="5">
        <v>1121.8</v>
      </c>
      <c r="C146" s="1">
        <f t="shared" si="4"/>
        <v>6.7758582005833113E-3</v>
      </c>
      <c r="H146" s="4">
        <v>45729</v>
      </c>
      <c r="I146" s="5">
        <v>2538.25</v>
      </c>
      <c r="J146" s="1">
        <f t="shared" si="5"/>
        <v>-2.6718532052416185E-3</v>
      </c>
    </row>
    <row r="147" spans="1:10">
      <c r="A147" s="4">
        <v>45728</v>
      </c>
      <c r="B147" s="5">
        <v>1114.25</v>
      </c>
      <c r="C147" s="1">
        <f t="shared" si="4"/>
        <v>-2.5536752809480121E-2</v>
      </c>
      <c r="H147" s="4">
        <v>45728</v>
      </c>
      <c r="I147" s="5">
        <v>2545.0500000000002</v>
      </c>
      <c r="J147" s="1">
        <f t="shared" si="5"/>
        <v>1.4732267453450928E-2</v>
      </c>
    </row>
    <row r="148" spans="1:10">
      <c r="A148" s="4">
        <v>45727</v>
      </c>
      <c r="B148" s="5">
        <v>1143.45</v>
      </c>
      <c r="C148" s="1">
        <f t="shared" si="4"/>
        <v>-1.05568294898975E-2</v>
      </c>
      <c r="H148" s="4">
        <v>45727</v>
      </c>
      <c r="I148" s="5">
        <v>2508.1</v>
      </c>
      <c r="J148" s="1">
        <f t="shared" si="5"/>
        <v>-5.6100703736743345E-3</v>
      </c>
    </row>
    <row r="149" spans="1:10">
      <c r="A149" s="4">
        <v>45726</v>
      </c>
      <c r="B149" s="5">
        <v>1155.6500000000001</v>
      </c>
      <c r="C149" s="1">
        <f t="shared" si="4"/>
        <v>3.4297125987670794E-3</v>
      </c>
      <c r="H149" s="4">
        <v>45726</v>
      </c>
      <c r="I149" s="5">
        <v>2522.25</v>
      </c>
      <c r="J149" s="1">
        <f t="shared" si="5"/>
        <v>-1.5841738689349714E-2</v>
      </c>
    </row>
    <row r="150" spans="1:10">
      <c r="A150" s="4">
        <v>45723</v>
      </c>
      <c r="B150" s="5">
        <v>1151.7</v>
      </c>
      <c r="C150" s="1">
        <f t="shared" si="4"/>
        <v>4.3584632113084582E-2</v>
      </c>
      <c r="H150" s="4">
        <v>45723</v>
      </c>
      <c r="I150" s="5">
        <v>2562.85</v>
      </c>
      <c r="J150" s="1">
        <f t="shared" si="5"/>
        <v>-2.5492332840352542E-3</v>
      </c>
    </row>
    <row r="151" spans="1:10">
      <c r="A151" s="4">
        <v>45722</v>
      </c>
      <c r="B151" s="5">
        <v>1103.5999999999999</v>
      </c>
      <c r="C151" s="1">
        <f t="shared" si="4"/>
        <v>7.3749756762015922E-2</v>
      </c>
      <c r="H151" s="4">
        <v>45722</v>
      </c>
      <c r="I151" s="5">
        <v>2569.4</v>
      </c>
      <c r="J151" s="1">
        <f t="shared" si="5"/>
        <v>2.9275147351575004E-3</v>
      </c>
    </row>
    <row r="152" spans="1:10">
      <c r="A152" s="4">
        <v>45721</v>
      </c>
      <c r="B152" s="5">
        <v>1027.8</v>
      </c>
      <c r="C152" s="1">
        <f t="shared" si="4"/>
        <v>5.8932618998557521E-2</v>
      </c>
      <c r="H152" s="4">
        <v>45721</v>
      </c>
      <c r="I152" s="5">
        <v>2561.9</v>
      </c>
      <c r="J152" s="1">
        <f t="shared" si="5"/>
        <v>4.6143166319572049E-2</v>
      </c>
    </row>
    <row r="153" spans="1:10">
      <c r="A153" s="4">
        <v>45720</v>
      </c>
      <c r="B153" s="3">
        <v>970.6</v>
      </c>
      <c r="C153" s="1">
        <f t="shared" si="4"/>
        <v>-1.2714881497304445E-2</v>
      </c>
      <c r="H153" s="4">
        <v>45720</v>
      </c>
      <c r="I153" s="5">
        <v>2448.9</v>
      </c>
      <c r="J153" s="1">
        <f t="shared" si="5"/>
        <v>2.0049099836334252E-3</v>
      </c>
    </row>
    <row r="154" spans="1:10">
      <c r="A154" s="4">
        <v>45719</v>
      </c>
      <c r="B154" s="3">
        <v>983.1</v>
      </c>
      <c r="C154" s="1">
        <f t="shared" si="4"/>
        <v>-3.7214768387033588E-2</v>
      </c>
      <c r="H154" s="4">
        <v>45719</v>
      </c>
      <c r="I154" s="5">
        <v>2444</v>
      </c>
      <c r="J154" s="1">
        <f t="shared" si="5"/>
        <v>-1.6874836581588455E-2</v>
      </c>
    </row>
    <row r="155" spans="1:10">
      <c r="A155" s="4">
        <v>45716</v>
      </c>
      <c r="B155" s="5">
        <v>1021.1</v>
      </c>
      <c r="C155" s="1">
        <f t="shared" si="4"/>
        <v>-3.4877126654064249E-2</v>
      </c>
      <c r="H155" s="4">
        <v>45716</v>
      </c>
      <c r="I155" s="5">
        <v>2485.9499999999998</v>
      </c>
      <c r="J155" s="1">
        <f t="shared" si="5"/>
        <v>-4.0062555508360041E-2</v>
      </c>
    </row>
    <row r="156" spans="1:10">
      <c r="A156" s="4">
        <v>45715</v>
      </c>
      <c r="B156" s="5">
        <v>1058</v>
      </c>
      <c r="C156" s="1">
        <f t="shared" si="4"/>
        <v>-5.8676987410472031E-2</v>
      </c>
      <c r="H156" s="4">
        <v>45715</v>
      </c>
      <c r="I156" s="5">
        <v>2589.6999999999998</v>
      </c>
      <c r="J156" s="1">
        <f t="shared" si="5"/>
        <v>1.6244440146972803E-3</v>
      </c>
    </row>
    <row r="157" spans="1:10">
      <c r="A157" s="4">
        <v>45713</v>
      </c>
      <c r="B157" s="5">
        <v>1123.95</v>
      </c>
      <c r="C157" s="1">
        <f t="shared" si="4"/>
        <v>-1.9796799372083933E-2</v>
      </c>
      <c r="H157" s="4">
        <v>45713</v>
      </c>
      <c r="I157" s="5">
        <v>2585.5</v>
      </c>
      <c r="J157" s="1">
        <f t="shared" si="5"/>
        <v>8.2673634130171255E-3</v>
      </c>
    </row>
    <row r="158" spans="1:10">
      <c r="A158" s="4">
        <v>45712</v>
      </c>
      <c r="B158" s="5">
        <v>1146.6500000000001</v>
      </c>
      <c r="C158" s="1">
        <f t="shared" si="4"/>
        <v>-3.9294541493862731E-2</v>
      </c>
      <c r="H158" s="4">
        <v>45712</v>
      </c>
      <c r="I158" s="5">
        <v>2564.3000000000002</v>
      </c>
      <c r="J158" s="1">
        <f t="shared" si="5"/>
        <v>-1.6190293497026595E-2</v>
      </c>
    </row>
    <row r="159" spans="1:10">
      <c r="A159" s="4">
        <v>45709</v>
      </c>
      <c r="B159" s="5">
        <v>1193.55</v>
      </c>
      <c r="C159" s="1">
        <f t="shared" si="4"/>
        <v>3.7716872014084782E-4</v>
      </c>
      <c r="H159" s="4">
        <v>45709</v>
      </c>
      <c r="I159" s="5">
        <v>2606.5</v>
      </c>
      <c r="J159" s="1">
        <f t="shared" si="5"/>
        <v>-2.1473889702293737E-2</v>
      </c>
    </row>
    <row r="160" spans="1:10">
      <c r="A160" s="4">
        <v>45708</v>
      </c>
      <c r="B160" s="5">
        <v>1193.0999999999999</v>
      </c>
      <c r="C160" s="1">
        <f t="shared" si="4"/>
        <v>1.8090280740677377E-2</v>
      </c>
      <c r="H160" s="4">
        <v>45708</v>
      </c>
      <c r="I160" s="5">
        <v>2663.7</v>
      </c>
      <c r="J160" s="1">
        <f t="shared" si="5"/>
        <v>-4.4720986945918903E-2</v>
      </c>
    </row>
    <row r="161" spans="1:10">
      <c r="A161" s="4">
        <v>45707</v>
      </c>
      <c r="B161" s="5">
        <v>1171.9000000000001</v>
      </c>
      <c r="C161" s="1">
        <f t="shared" si="4"/>
        <v>2.9789103690685492E-2</v>
      </c>
      <c r="H161" s="4">
        <v>45707</v>
      </c>
      <c r="I161" s="5">
        <v>2788.4</v>
      </c>
      <c r="J161" s="1">
        <f t="shared" si="5"/>
        <v>1.1609345523146132E-2</v>
      </c>
    </row>
    <row r="162" spans="1:10">
      <c r="A162" s="4">
        <v>45706</v>
      </c>
      <c r="B162" s="5">
        <v>1138</v>
      </c>
      <c r="C162" s="1">
        <f t="shared" si="4"/>
        <v>7.3025005532197391E-3</v>
      </c>
      <c r="H162" s="4">
        <v>45706</v>
      </c>
      <c r="I162" s="5">
        <v>2756.4</v>
      </c>
      <c r="J162" s="1">
        <f t="shared" si="5"/>
        <v>3.5948510758244887E-2</v>
      </c>
    </row>
    <row r="163" spans="1:10">
      <c r="A163" s="4">
        <v>45705</v>
      </c>
      <c r="B163" s="5">
        <v>1129.75</v>
      </c>
      <c r="C163" s="1">
        <f t="shared" si="4"/>
        <v>-5.9392872855257373E-3</v>
      </c>
      <c r="H163" s="4">
        <v>45705</v>
      </c>
      <c r="I163" s="5">
        <v>2660.75</v>
      </c>
      <c r="J163" s="1">
        <f t="shared" si="5"/>
        <v>3.9253979103603162E-2</v>
      </c>
    </row>
    <row r="164" spans="1:10">
      <c r="A164" s="4">
        <v>45702</v>
      </c>
      <c r="B164" s="5">
        <v>1136.5</v>
      </c>
      <c r="C164" s="1">
        <f t="shared" si="4"/>
        <v>-4.6720348934742528E-2</v>
      </c>
      <c r="H164" s="4">
        <v>45702</v>
      </c>
      <c r="I164" s="5">
        <v>2560.25</v>
      </c>
      <c r="J164" s="1">
        <f t="shared" si="5"/>
        <v>2.5905593845167531E-2</v>
      </c>
    </row>
    <row r="165" spans="1:10">
      <c r="A165" s="4">
        <v>45701</v>
      </c>
      <c r="B165" s="5">
        <v>1192.2</v>
      </c>
      <c r="C165" s="1">
        <f t="shared" si="4"/>
        <v>9.4407518733331287E-3</v>
      </c>
      <c r="H165" s="4">
        <v>45701</v>
      </c>
      <c r="I165" s="5">
        <v>2495.6</v>
      </c>
      <c r="J165" s="1">
        <f t="shared" si="5"/>
        <v>-7.7334446631280775E-3</v>
      </c>
    </row>
    <row r="166" spans="1:10">
      <c r="A166" s="4">
        <v>45700</v>
      </c>
      <c r="B166" s="5">
        <v>1181.05</v>
      </c>
      <c r="C166" s="1">
        <f t="shared" si="4"/>
        <v>3.7920731171456071E-2</v>
      </c>
      <c r="H166" s="4">
        <v>45700</v>
      </c>
      <c r="I166" s="5">
        <v>2515.0500000000002</v>
      </c>
      <c r="J166" s="1">
        <f t="shared" si="5"/>
        <v>-2.0830853469825019E-3</v>
      </c>
    </row>
    <row r="167" spans="1:10">
      <c r="A167" s="4">
        <v>45699</v>
      </c>
      <c r="B167" s="5">
        <v>1137.9000000000001</v>
      </c>
      <c r="C167" s="1">
        <f t="shared" si="4"/>
        <v>-3.1739278420694308E-2</v>
      </c>
      <c r="H167" s="4">
        <v>45699</v>
      </c>
      <c r="I167" s="5">
        <v>2520.3000000000002</v>
      </c>
      <c r="J167" s="1">
        <f t="shared" si="5"/>
        <v>-3.0355493998153141E-2</v>
      </c>
    </row>
    <row r="168" spans="1:10">
      <c r="A168" s="4">
        <v>45698</v>
      </c>
      <c r="B168" s="5">
        <v>1175.2</v>
      </c>
      <c r="C168" s="1">
        <f t="shared" si="4"/>
        <v>-3.8966349102506334E-2</v>
      </c>
      <c r="H168" s="4">
        <v>45698</v>
      </c>
      <c r="I168" s="5">
        <v>2599.1999999999998</v>
      </c>
      <c r="J168" s="1">
        <f t="shared" si="5"/>
        <v>-3.4364899505888474E-2</v>
      </c>
    </row>
    <row r="169" spans="1:10">
      <c r="A169" s="4">
        <v>45695</v>
      </c>
      <c r="B169" s="5">
        <v>1222.8499999999999</v>
      </c>
      <c r="C169" s="1">
        <f t="shared" si="4"/>
        <v>1.5656146179401916E-2</v>
      </c>
      <c r="H169" s="4">
        <v>45695</v>
      </c>
      <c r="I169" s="5">
        <v>2691.7</v>
      </c>
      <c r="J169" s="1">
        <f t="shared" si="5"/>
        <v>-2.6123205187587521E-3</v>
      </c>
    </row>
    <row r="170" spans="1:10">
      <c r="A170" s="4">
        <v>45694</v>
      </c>
      <c r="B170" s="5">
        <v>1204</v>
      </c>
      <c r="C170" s="1">
        <f t="shared" si="4"/>
        <v>1.6419737453041278E-2</v>
      </c>
      <c r="H170" s="4">
        <v>45694</v>
      </c>
      <c r="I170" s="5">
        <v>2698.75</v>
      </c>
      <c r="J170" s="1">
        <f t="shared" si="5"/>
        <v>-3.1230368841425112E-2</v>
      </c>
    </row>
    <row r="171" spans="1:10">
      <c r="A171" s="4">
        <v>45693</v>
      </c>
      <c r="B171" s="5">
        <v>1184.55</v>
      </c>
      <c r="C171" s="1">
        <f t="shared" si="4"/>
        <v>-8.9521020706965458E-3</v>
      </c>
      <c r="H171" s="4">
        <v>45693</v>
      </c>
      <c r="I171" s="5">
        <v>2785.75</v>
      </c>
      <c r="J171" s="1">
        <f t="shared" si="5"/>
        <v>-4.2357735201601051E-3</v>
      </c>
    </row>
    <row r="172" spans="1:10">
      <c r="A172" s="4">
        <v>45692</v>
      </c>
      <c r="B172" s="5">
        <v>1195.25</v>
      </c>
      <c r="C172" s="1">
        <f t="shared" si="4"/>
        <v>3.2524187975121022E-2</v>
      </c>
      <c r="H172" s="4">
        <v>45692</v>
      </c>
      <c r="I172" s="5">
        <v>2797.6</v>
      </c>
      <c r="J172" s="1">
        <f t="shared" si="5"/>
        <v>-6.2073589808063059E-2</v>
      </c>
    </row>
    <row r="173" spans="1:10">
      <c r="A173" s="4">
        <v>45691</v>
      </c>
      <c r="B173" s="5">
        <v>1157.5999999999999</v>
      </c>
      <c r="C173" s="1">
        <f t="shared" si="4"/>
        <v>-5.7290606295044698E-2</v>
      </c>
      <c r="H173" s="4">
        <v>45691</v>
      </c>
      <c r="I173" s="5">
        <v>2982.75</v>
      </c>
      <c r="J173" s="1">
        <f t="shared" si="5"/>
        <v>9.716398146104617E-2</v>
      </c>
    </row>
    <row r="174" spans="1:10">
      <c r="A174" s="4">
        <v>45689</v>
      </c>
      <c r="B174" s="5">
        <v>1227.95</v>
      </c>
      <c r="C174" s="1">
        <f t="shared" si="4"/>
        <v>-8.9984666290048136E-3</v>
      </c>
      <c r="H174" s="4">
        <v>45689</v>
      </c>
      <c r="I174" s="5">
        <v>2718.6</v>
      </c>
      <c r="J174" s="1">
        <f t="shared" si="5"/>
        <v>8.9628681177977305E-3</v>
      </c>
    </row>
    <row r="175" spans="1:10">
      <c r="A175" s="4">
        <v>45688</v>
      </c>
      <c r="B175" s="5">
        <v>1239.0999999999999</v>
      </c>
      <c r="C175" s="1">
        <f t="shared" si="4"/>
        <v>-7.6085215441294256E-3</v>
      </c>
      <c r="H175" s="4">
        <v>45688</v>
      </c>
      <c r="I175" s="5">
        <v>2694.45</v>
      </c>
      <c r="J175" s="1">
        <f t="shared" si="5"/>
        <v>6.5748921306759472E-3</v>
      </c>
    </row>
    <row r="176" spans="1:10">
      <c r="A176" s="4">
        <v>45687</v>
      </c>
      <c r="B176" s="5">
        <v>1248.5999999999999</v>
      </c>
      <c r="C176" s="1">
        <f t="shared" si="4"/>
        <v>-7.4327278508685849E-3</v>
      </c>
      <c r="H176" s="4">
        <v>45687</v>
      </c>
      <c r="I176" s="5">
        <v>2676.85</v>
      </c>
      <c r="J176" s="1">
        <f t="shared" si="5"/>
        <v>1.8607659963089135E-2</v>
      </c>
    </row>
    <row r="177" spans="1:10">
      <c r="A177" s="4">
        <v>45686</v>
      </c>
      <c r="B177" s="5">
        <v>1257.95</v>
      </c>
      <c r="C177" s="1">
        <f t="shared" si="4"/>
        <v>2.1312007794105706E-2</v>
      </c>
      <c r="H177" s="4">
        <v>45686</v>
      </c>
      <c r="I177" s="5">
        <v>2627.95</v>
      </c>
      <c r="J177" s="1">
        <f t="shared" si="5"/>
        <v>2.3086056878126534E-2</v>
      </c>
    </row>
    <row r="178" spans="1:10">
      <c r="A178" s="4">
        <v>45685</v>
      </c>
      <c r="B178" s="5">
        <v>1231.7</v>
      </c>
      <c r="C178" s="1">
        <f t="shared" si="4"/>
        <v>-4.8549689081147818E-2</v>
      </c>
      <c r="H178" s="4">
        <v>45685</v>
      </c>
      <c r="I178" s="5">
        <v>2568.65</v>
      </c>
      <c r="J178" s="1">
        <f t="shared" si="5"/>
        <v>-3.6443094005551839E-2</v>
      </c>
    </row>
    <row r="179" spans="1:10">
      <c r="A179" s="4">
        <v>45684</v>
      </c>
      <c r="B179" s="5">
        <v>1294.55</v>
      </c>
      <c r="C179" s="1">
        <f t="shared" si="4"/>
        <v>-5.8646015125072781E-2</v>
      </c>
      <c r="H179" s="4">
        <v>45684</v>
      </c>
      <c r="I179" s="5">
        <v>2665.8</v>
      </c>
      <c r="J179" s="1">
        <f t="shared" si="5"/>
        <v>-4.6754036223203586E-2</v>
      </c>
    </row>
    <row r="180" spans="1:10">
      <c r="A180" s="4">
        <v>45681</v>
      </c>
      <c r="B180" s="5">
        <v>1375.2</v>
      </c>
      <c r="C180" s="1">
        <f t="shared" si="4"/>
        <v>-1.1500862564692351E-2</v>
      </c>
      <c r="H180" s="4">
        <v>45681</v>
      </c>
      <c r="I180" s="5">
        <v>2796.55</v>
      </c>
      <c r="J180" s="1">
        <f t="shared" si="5"/>
        <v>-3.432379702688225E-2</v>
      </c>
    </row>
    <row r="181" spans="1:10">
      <c r="A181" s="4">
        <v>45680</v>
      </c>
      <c r="B181" s="5">
        <v>1391.2</v>
      </c>
      <c r="C181" s="1">
        <f t="shared" si="4"/>
        <v>9.286128845037692E-3</v>
      </c>
      <c r="H181" s="4">
        <v>45680</v>
      </c>
      <c r="I181" s="5">
        <v>2895.95</v>
      </c>
      <c r="J181" s="1">
        <f t="shared" si="5"/>
        <v>1.1614909001991127E-2</v>
      </c>
    </row>
    <row r="182" spans="1:10">
      <c r="A182" s="4">
        <v>45679</v>
      </c>
      <c r="B182" s="5">
        <v>1378.4</v>
      </c>
      <c r="C182" s="1">
        <f t="shared" si="4"/>
        <v>-2.5280203655906372E-2</v>
      </c>
      <c r="H182" s="4">
        <v>45679</v>
      </c>
      <c r="I182" s="5">
        <v>2862.7</v>
      </c>
      <c r="J182" s="1">
        <f t="shared" si="5"/>
        <v>1.0679800172995111E-2</v>
      </c>
    </row>
    <row r="183" spans="1:10">
      <c r="A183" s="4">
        <v>45678</v>
      </c>
      <c r="B183" s="5">
        <v>1414.15</v>
      </c>
      <c r="C183" s="1">
        <f t="shared" si="4"/>
        <v>1.292887328987908E-2</v>
      </c>
      <c r="H183" s="4">
        <v>45678</v>
      </c>
      <c r="I183" s="5">
        <v>2832.45</v>
      </c>
      <c r="J183" s="1">
        <f t="shared" si="5"/>
        <v>-1.6749401187211441E-2</v>
      </c>
    </row>
    <row r="184" spans="1:10">
      <c r="A184" s="4">
        <v>45677</v>
      </c>
      <c r="B184" s="5">
        <v>1396.1</v>
      </c>
      <c r="C184" s="1">
        <f t="shared" si="4"/>
        <v>-1.928277896807281E-2</v>
      </c>
      <c r="H184" s="4">
        <v>45677</v>
      </c>
      <c r="I184" s="5">
        <v>2880.7</v>
      </c>
      <c r="J184" s="1">
        <f t="shared" si="5"/>
        <v>5.4974781409797731E-3</v>
      </c>
    </row>
    <row r="185" spans="1:10">
      <c r="A185" s="4">
        <v>45674</v>
      </c>
      <c r="B185" s="5">
        <v>1423.55</v>
      </c>
      <c r="C185" s="1">
        <f t="shared" si="4"/>
        <v>-7.6333217148832665E-3</v>
      </c>
      <c r="H185" s="4">
        <v>45674</v>
      </c>
      <c r="I185" s="5">
        <v>2864.95</v>
      </c>
      <c r="J185" s="1">
        <f t="shared" si="5"/>
        <v>-1.0460433410624315E-3</v>
      </c>
    </row>
    <row r="186" spans="1:10">
      <c r="A186" s="4">
        <v>45673</v>
      </c>
      <c r="B186" s="5">
        <v>1434.5</v>
      </c>
      <c r="C186" s="1">
        <f t="shared" si="4"/>
        <v>1.2214273250741581E-3</v>
      </c>
      <c r="H186" s="4">
        <v>45673</v>
      </c>
      <c r="I186" s="5">
        <v>2867.95</v>
      </c>
      <c r="J186" s="1">
        <f t="shared" si="5"/>
        <v>-4.4432873383668083E-3</v>
      </c>
    </row>
    <row r="187" spans="1:10">
      <c r="A187" s="4">
        <v>45672</v>
      </c>
      <c r="B187" s="5">
        <v>1432.75</v>
      </c>
      <c r="C187" s="1">
        <f t="shared" si="4"/>
        <v>9.9746228676160249E-3</v>
      </c>
      <c r="H187" s="4">
        <v>45672</v>
      </c>
      <c r="I187" s="5">
        <v>2880.75</v>
      </c>
      <c r="J187" s="1">
        <f t="shared" si="5"/>
        <v>2.310260326029058E-2</v>
      </c>
    </row>
    <row r="188" spans="1:10">
      <c r="A188" s="4">
        <v>45671</v>
      </c>
      <c r="B188" s="5">
        <v>1418.6</v>
      </c>
      <c r="C188" s="1">
        <f t="shared" si="4"/>
        <v>3.441738369549352E-2</v>
      </c>
      <c r="H188" s="4">
        <v>45671</v>
      </c>
      <c r="I188" s="5">
        <v>2815.7</v>
      </c>
      <c r="J188" s="1">
        <f t="shared" si="5"/>
        <v>1.4319422179794306E-2</v>
      </c>
    </row>
    <row r="189" spans="1:10">
      <c r="A189" s="4">
        <v>45670</v>
      </c>
      <c r="B189" s="5">
        <v>1371.4</v>
      </c>
      <c r="C189" s="1">
        <f t="shared" si="4"/>
        <v>-5.3978546545717931E-2</v>
      </c>
      <c r="H189" s="4">
        <v>45670</v>
      </c>
      <c r="I189" s="5">
        <v>2775.95</v>
      </c>
      <c r="J189" s="1">
        <f t="shared" si="5"/>
        <v>-2.0552536871074733E-2</v>
      </c>
    </row>
    <row r="190" spans="1:10">
      <c r="A190" s="4">
        <v>45667</v>
      </c>
      <c r="B190" s="5">
        <v>1449.65</v>
      </c>
      <c r="C190" s="1">
        <f t="shared" si="4"/>
        <v>9.6813512101689651E-3</v>
      </c>
      <c r="H190" s="4">
        <v>45667</v>
      </c>
      <c r="I190" s="5">
        <v>2834.2</v>
      </c>
      <c r="J190" s="1">
        <f t="shared" si="5"/>
        <v>-3.4409920959389481E-2</v>
      </c>
    </row>
    <row r="191" spans="1:10">
      <c r="A191" s="4">
        <v>45666</v>
      </c>
      <c r="B191" s="5">
        <v>1435.75</v>
      </c>
      <c r="C191" s="1">
        <f t="shared" si="4"/>
        <v>5.9202690394451378E-3</v>
      </c>
      <c r="H191" s="4">
        <v>45666</v>
      </c>
      <c r="I191" s="5">
        <v>2935.2</v>
      </c>
      <c r="J191" s="1">
        <f t="shared" si="5"/>
        <v>-1.0234189273490705E-2</v>
      </c>
    </row>
    <row r="192" spans="1:10">
      <c r="A192" s="4">
        <v>45665</v>
      </c>
      <c r="B192" s="5">
        <v>1427.3</v>
      </c>
      <c r="C192" s="1">
        <f t="shared" si="4"/>
        <v>4.5041874868040422E-3</v>
      </c>
      <c r="H192" s="4">
        <v>45665</v>
      </c>
      <c r="I192" s="5">
        <v>2965.55</v>
      </c>
      <c r="J192" s="1">
        <f t="shared" si="5"/>
        <v>-1.0906362044525914E-2</v>
      </c>
    </row>
    <row r="193" spans="1:10">
      <c r="A193" s="4">
        <v>45664</v>
      </c>
      <c r="B193" s="5">
        <v>1420.9</v>
      </c>
      <c r="C193" s="1">
        <f t="shared" si="4"/>
        <v>2.6402282659732136E-2</v>
      </c>
      <c r="H193" s="4">
        <v>45664</v>
      </c>
      <c r="I193" s="5">
        <v>2998.25</v>
      </c>
      <c r="J193" s="1">
        <f t="shared" si="5"/>
        <v>1.7304266689286623E-2</v>
      </c>
    </row>
    <row r="194" spans="1:10">
      <c r="A194" s="4">
        <v>45663</v>
      </c>
      <c r="B194" s="5">
        <v>1384.35</v>
      </c>
      <c r="C194" s="1">
        <f t="shared" si="4"/>
        <v>-3.9479618386817066E-2</v>
      </c>
      <c r="H194" s="4">
        <v>45663</v>
      </c>
      <c r="I194" s="5">
        <v>2947.25</v>
      </c>
      <c r="J194" s="1">
        <f t="shared" si="5"/>
        <v>2.5576337538060025E-2</v>
      </c>
    </row>
    <row r="195" spans="1:10">
      <c r="A195" s="4">
        <v>45660</v>
      </c>
      <c r="B195" s="5">
        <v>1441.25</v>
      </c>
      <c r="C195" s="1">
        <f t="shared" ref="C195:D250" si="6">(B195-B196)/B196</f>
        <v>7.4958045869848972E-2</v>
      </c>
      <c r="H195" s="4">
        <v>45660</v>
      </c>
      <c r="I195" s="5">
        <v>2873.75</v>
      </c>
      <c r="J195" s="1">
        <f t="shared" ref="J195:J250" si="7">(I195-I196)/I196</f>
        <v>-3.512011684321853E-2</v>
      </c>
    </row>
    <row r="196" spans="1:10">
      <c r="A196" s="4">
        <v>45659</v>
      </c>
      <c r="B196" s="5">
        <v>1340.75</v>
      </c>
      <c r="C196" s="1">
        <f t="shared" si="6"/>
        <v>6.1559778305621538E-2</v>
      </c>
      <c r="H196" s="4">
        <v>45659</v>
      </c>
      <c r="I196" s="5">
        <v>2978.35</v>
      </c>
      <c r="J196" s="1">
        <f t="shared" si="7"/>
        <v>-5.3433967305091257E-3</v>
      </c>
    </row>
    <row r="197" spans="1:10">
      <c r="A197" s="4">
        <v>45658</v>
      </c>
      <c r="B197" s="5">
        <v>1263</v>
      </c>
      <c r="C197" s="1">
        <f t="shared" si="6"/>
        <v>2.5287169704103659E-2</v>
      </c>
      <c r="H197" s="4">
        <v>45658</v>
      </c>
      <c r="I197" s="5">
        <v>2994.35</v>
      </c>
      <c r="J197" s="1">
        <f t="shared" si="7"/>
        <v>2.1195689243571413E-2</v>
      </c>
    </row>
    <row r="198" spans="1:10">
      <c r="A198" s="4">
        <v>45657</v>
      </c>
      <c r="B198" s="5">
        <v>1231.8499999999999</v>
      </c>
      <c r="C198" s="1">
        <f t="shared" si="6"/>
        <v>1.3743159280747081E-2</v>
      </c>
      <c r="H198" s="4">
        <v>45657</v>
      </c>
      <c r="I198" s="5">
        <v>2932.2</v>
      </c>
      <c r="J198" s="1">
        <f t="shared" si="7"/>
        <v>-7.5478084278220283E-3</v>
      </c>
    </row>
    <row r="199" spans="1:10">
      <c r="A199" s="4">
        <v>45656</v>
      </c>
      <c r="B199" s="5">
        <v>1215.1500000000001</v>
      </c>
      <c r="C199" s="1">
        <f t="shared" si="6"/>
        <v>2.8219664917921931E-2</v>
      </c>
      <c r="H199" s="4">
        <v>45656</v>
      </c>
      <c r="I199" s="5">
        <v>2954.5</v>
      </c>
      <c r="J199" s="1">
        <f t="shared" si="7"/>
        <v>-2.9402102496714849E-2</v>
      </c>
    </row>
    <row r="200" spans="1:10">
      <c r="A200" s="4">
        <v>45653</v>
      </c>
      <c r="B200" s="5">
        <v>1181.8</v>
      </c>
      <c r="C200" s="1">
        <f t="shared" si="6"/>
        <v>1.2421828150432622E-2</v>
      </c>
      <c r="H200" s="4">
        <v>45653</v>
      </c>
      <c r="I200" s="5">
        <v>3044</v>
      </c>
      <c r="J200" s="1">
        <f t="shared" si="7"/>
        <v>9.0687591816259946E-2</v>
      </c>
    </row>
    <row r="201" spans="1:10">
      <c r="A201" s="4">
        <v>45652</v>
      </c>
      <c r="B201" s="5">
        <v>1167.3</v>
      </c>
      <c r="C201" s="1">
        <f t="shared" si="6"/>
        <v>-1.8374469158642843E-2</v>
      </c>
      <c r="H201" s="4">
        <v>45652</v>
      </c>
      <c r="I201" s="5">
        <v>2790.9</v>
      </c>
      <c r="J201" s="1">
        <f t="shared" si="7"/>
        <v>-4.5831475702184247E-3</v>
      </c>
    </row>
    <row r="202" spans="1:10">
      <c r="A202" s="4">
        <v>45650</v>
      </c>
      <c r="B202" s="5">
        <v>1189.1500000000001</v>
      </c>
      <c r="C202" s="1">
        <f t="shared" si="6"/>
        <v>2.2748774404403583E-2</v>
      </c>
      <c r="H202" s="4">
        <v>45650</v>
      </c>
      <c r="I202" s="5">
        <v>2803.75</v>
      </c>
      <c r="J202" s="1">
        <f t="shared" si="7"/>
        <v>-6.237747282124399E-4</v>
      </c>
    </row>
    <row r="203" spans="1:10">
      <c r="A203" s="4">
        <v>45649</v>
      </c>
      <c r="B203" s="5">
        <v>1162.7</v>
      </c>
      <c r="C203" s="1">
        <f t="shared" si="6"/>
        <v>2.4405286343612376E-2</v>
      </c>
      <c r="H203" s="4">
        <v>45649</v>
      </c>
      <c r="I203" s="5">
        <v>2805.5</v>
      </c>
      <c r="J203" s="1">
        <f t="shared" si="7"/>
        <v>-2.1263235011948517E-2</v>
      </c>
    </row>
    <row r="204" spans="1:10">
      <c r="A204" s="4">
        <v>45646</v>
      </c>
      <c r="B204" s="5">
        <v>1135</v>
      </c>
      <c r="C204" s="1">
        <f t="shared" si="6"/>
        <v>-5.6071491151218596E-3</v>
      </c>
      <c r="H204" s="4">
        <v>45646</v>
      </c>
      <c r="I204" s="5">
        <v>2866.45</v>
      </c>
      <c r="J204" s="1">
        <f t="shared" si="7"/>
        <v>-3.2166081301943875E-3</v>
      </c>
    </row>
    <row r="205" spans="1:10">
      <c r="A205" s="4">
        <v>45645</v>
      </c>
      <c r="B205" s="5">
        <v>1141.4000000000001</v>
      </c>
      <c r="C205" s="1">
        <f t="shared" si="6"/>
        <v>-3.1357406543047327E-2</v>
      </c>
      <c r="H205" s="4">
        <v>45645</v>
      </c>
      <c r="I205" s="5">
        <v>2875.7</v>
      </c>
      <c r="J205" s="1">
        <f t="shared" si="7"/>
        <v>-5.8081244598099163E-3</v>
      </c>
    </row>
    <row r="206" spans="1:10">
      <c r="A206" s="4">
        <v>45644</v>
      </c>
      <c r="B206" s="5">
        <v>1178.3499999999999</v>
      </c>
      <c r="C206" s="1">
        <f t="shared" si="6"/>
        <v>2.1321776814734482E-2</v>
      </c>
      <c r="H206" s="4">
        <v>45644</v>
      </c>
      <c r="I206" s="5">
        <v>2892.5</v>
      </c>
      <c r="J206" s="1">
        <f t="shared" si="7"/>
        <v>5.8245675041293573E-3</v>
      </c>
    </row>
    <row r="207" spans="1:10">
      <c r="A207" s="4">
        <v>45643</v>
      </c>
      <c r="B207" s="5">
        <v>1153.75</v>
      </c>
      <c r="C207" s="1">
        <f t="shared" si="6"/>
        <v>4.3525571273122961E-3</v>
      </c>
      <c r="H207" s="4">
        <v>45643</v>
      </c>
      <c r="I207" s="5">
        <v>2875.75</v>
      </c>
      <c r="J207" s="1">
        <f t="shared" si="7"/>
        <v>-7.1809566553314051E-3</v>
      </c>
    </row>
    <row r="208" spans="1:10">
      <c r="A208" s="4">
        <v>45642</v>
      </c>
      <c r="B208" s="5">
        <v>1148.75</v>
      </c>
      <c r="C208" s="1">
        <f t="shared" si="6"/>
        <v>2.9668802939990056E-2</v>
      </c>
      <c r="H208" s="4">
        <v>45642</v>
      </c>
      <c r="I208" s="5">
        <v>2896.55</v>
      </c>
      <c r="J208" s="1">
        <f t="shared" si="7"/>
        <v>3.1736985520668351E-2</v>
      </c>
    </row>
    <row r="209" spans="1:10">
      <c r="A209" s="4">
        <v>45639</v>
      </c>
      <c r="B209" s="5">
        <v>1115.6500000000001</v>
      </c>
      <c r="C209" s="1">
        <f t="shared" si="6"/>
        <v>1.5889637588781685E-2</v>
      </c>
      <c r="H209" s="4">
        <v>45639</v>
      </c>
      <c r="I209" s="5">
        <v>2807.45</v>
      </c>
      <c r="J209" s="1">
        <f t="shared" si="7"/>
        <v>-1.1095651561316684E-2</v>
      </c>
    </row>
    <row r="210" spans="1:10">
      <c r="A210" s="4">
        <v>45638</v>
      </c>
      <c r="B210" s="5">
        <v>1098.2</v>
      </c>
      <c r="C210" s="1">
        <f t="shared" si="6"/>
        <v>-1.7490494296577907E-2</v>
      </c>
      <c r="H210" s="4">
        <v>45638</v>
      </c>
      <c r="I210" s="5">
        <v>2838.95</v>
      </c>
      <c r="J210" s="1">
        <f t="shared" si="7"/>
        <v>1.6197157890968965E-2</v>
      </c>
    </row>
    <row r="211" spans="1:10">
      <c r="A211" s="4">
        <v>45637</v>
      </c>
      <c r="B211" s="5">
        <v>1117.75</v>
      </c>
      <c r="C211" s="1">
        <f t="shared" si="6"/>
        <v>-6.7093219585887803E-3</v>
      </c>
      <c r="H211" s="4">
        <v>45637</v>
      </c>
      <c r="I211" s="5">
        <v>2793.7</v>
      </c>
      <c r="J211" s="1">
        <f t="shared" si="7"/>
        <v>-1.0834543072619893E-2</v>
      </c>
    </row>
    <row r="212" spans="1:10">
      <c r="A212" s="4">
        <v>45636</v>
      </c>
      <c r="B212" s="5">
        <v>1125.3</v>
      </c>
      <c r="C212" s="1">
        <f t="shared" si="6"/>
        <v>2.4863387978142037E-2</v>
      </c>
      <c r="H212" s="4">
        <v>45636</v>
      </c>
      <c r="I212" s="5">
        <v>2824.3</v>
      </c>
      <c r="J212" s="1">
        <f t="shared" si="7"/>
        <v>-7.223579450586051E-3</v>
      </c>
    </row>
    <row r="213" spans="1:10">
      <c r="A213" s="4">
        <v>45635</v>
      </c>
      <c r="B213" s="5">
        <v>1098</v>
      </c>
      <c r="C213" s="1">
        <f t="shared" si="6"/>
        <v>4.4918157594213977E-2</v>
      </c>
      <c r="H213" s="4">
        <v>45635</v>
      </c>
      <c r="I213" s="5">
        <v>2844.85</v>
      </c>
      <c r="J213" s="1">
        <f t="shared" si="7"/>
        <v>-6.963836917062368E-3</v>
      </c>
    </row>
    <row r="214" spans="1:10">
      <c r="A214" s="4">
        <v>45632</v>
      </c>
      <c r="B214" s="5">
        <v>1050.8</v>
      </c>
      <c r="C214" s="1">
        <f t="shared" si="6"/>
        <v>-8.8662516506320416E-3</v>
      </c>
      <c r="H214" s="4">
        <v>45632</v>
      </c>
      <c r="I214" s="5">
        <v>2864.8</v>
      </c>
      <c r="J214" s="1">
        <f t="shared" si="7"/>
        <v>-1.6968345200308765E-2</v>
      </c>
    </row>
    <row r="215" spans="1:10">
      <c r="A215" s="4">
        <v>45631</v>
      </c>
      <c r="B215" s="5">
        <v>1060.2</v>
      </c>
      <c r="C215" s="1">
        <f t="shared" si="6"/>
        <v>-8.5565998036188935E-3</v>
      </c>
      <c r="H215" s="4">
        <v>45631</v>
      </c>
      <c r="I215" s="5">
        <v>2914.25</v>
      </c>
      <c r="J215" s="1">
        <f t="shared" si="7"/>
        <v>-2.5301849560185989E-2</v>
      </c>
    </row>
    <row r="216" spans="1:10">
      <c r="A216" s="4">
        <v>45630</v>
      </c>
      <c r="B216" s="5">
        <v>1069.3499999999999</v>
      </c>
      <c r="C216" s="1">
        <f t="shared" si="6"/>
        <v>1.1396954506762466E-2</v>
      </c>
      <c r="H216" s="4">
        <v>45630</v>
      </c>
      <c r="I216" s="5">
        <v>2989.9</v>
      </c>
      <c r="J216" s="1">
        <f t="shared" si="7"/>
        <v>7.4805404858982625E-3</v>
      </c>
    </row>
    <row r="217" spans="1:10">
      <c r="A217" s="4">
        <v>45629</v>
      </c>
      <c r="B217" s="5">
        <v>1057.3</v>
      </c>
      <c r="C217" s="1">
        <f t="shared" si="6"/>
        <v>6.7126874553677263E-3</v>
      </c>
      <c r="H217" s="4">
        <v>45629</v>
      </c>
      <c r="I217" s="5">
        <v>2967.7</v>
      </c>
      <c r="J217" s="1">
        <f t="shared" si="7"/>
        <v>-1.9379780924215669E-2</v>
      </c>
    </row>
    <row r="218" spans="1:10">
      <c r="A218" s="4">
        <v>45628</v>
      </c>
      <c r="B218" s="5">
        <v>1050.25</v>
      </c>
      <c r="C218" s="1">
        <f t="shared" si="6"/>
        <v>1.0341510341510341E-2</v>
      </c>
      <c r="H218" s="4">
        <v>45628</v>
      </c>
      <c r="I218" s="5">
        <v>3026.35</v>
      </c>
      <c r="J218" s="1">
        <f t="shared" si="7"/>
        <v>1.2572165886419503E-3</v>
      </c>
    </row>
    <row r="219" spans="1:10">
      <c r="A219" s="4">
        <v>45625</v>
      </c>
      <c r="B219" s="5">
        <v>1039.5</v>
      </c>
      <c r="C219" s="1">
        <f t="shared" si="6"/>
        <v>7.3087643233199079E-2</v>
      </c>
      <c r="H219" s="4">
        <v>45625</v>
      </c>
      <c r="I219" s="5">
        <v>3022.55</v>
      </c>
      <c r="J219" s="1">
        <f t="shared" si="7"/>
        <v>3.1463818315218411E-2</v>
      </c>
    </row>
    <row r="220" spans="1:10">
      <c r="A220" s="4">
        <v>45624</v>
      </c>
      <c r="B220" s="3">
        <v>968.7</v>
      </c>
      <c r="C220" s="1">
        <f t="shared" si="6"/>
        <v>7.7503250975293064E-3</v>
      </c>
      <c r="H220" s="4">
        <v>45624</v>
      </c>
      <c r="I220" s="5">
        <v>2930.35</v>
      </c>
      <c r="J220" s="1">
        <f t="shared" si="7"/>
        <v>-3.1865336328796179E-2</v>
      </c>
    </row>
    <row r="221" spans="1:10">
      <c r="A221" s="4">
        <v>45623</v>
      </c>
      <c r="B221" s="3">
        <v>961.25</v>
      </c>
      <c r="C221" s="1">
        <f t="shared" si="6"/>
        <v>3.2354015550801261E-3</v>
      </c>
      <c r="H221" s="4">
        <v>45623</v>
      </c>
      <c r="I221" s="5">
        <v>3026.8</v>
      </c>
      <c r="J221" s="1">
        <f t="shared" si="7"/>
        <v>1.0027529823976035E-2</v>
      </c>
    </row>
    <row r="222" spans="1:10">
      <c r="A222" s="4">
        <v>45622</v>
      </c>
      <c r="B222" s="3">
        <v>958.15</v>
      </c>
      <c r="C222" s="1">
        <f t="shared" si="6"/>
        <v>-7.6126359399275225E-3</v>
      </c>
      <c r="H222" s="4">
        <v>45622</v>
      </c>
      <c r="I222" s="5">
        <v>2996.75</v>
      </c>
      <c r="J222" s="1">
        <f t="shared" si="7"/>
        <v>1.6685020188935129E-5</v>
      </c>
    </row>
    <row r="223" spans="1:10">
      <c r="A223" s="4">
        <v>45621</v>
      </c>
      <c r="B223" s="3">
        <v>965.5</v>
      </c>
      <c r="C223" s="1">
        <f t="shared" si="6"/>
        <v>5.7271134472185667E-2</v>
      </c>
      <c r="H223" s="4">
        <v>45621</v>
      </c>
      <c r="I223" s="5">
        <v>2996.7</v>
      </c>
      <c r="J223" s="1">
        <f t="shared" si="7"/>
        <v>1.2381547608992967E-2</v>
      </c>
    </row>
    <row r="224" spans="1:10">
      <c r="A224" s="4">
        <v>45618</v>
      </c>
      <c r="B224" s="3">
        <v>913.2</v>
      </c>
      <c r="C224" s="1">
        <f t="shared" si="6"/>
        <v>-1.9126728236515656E-3</v>
      </c>
      <c r="H224" s="4">
        <v>45618</v>
      </c>
      <c r="I224" s="5">
        <v>2960.05</v>
      </c>
      <c r="J224" s="1">
        <f t="shared" si="7"/>
        <v>4.9397385842811685E-3</v>
      </c>
    </row>
    <row r="225" spans="1:10">
      <c r="A225" s="4">
        <v>45617</v>
      </c>
      <c r="B225" s="3">
        <v>914.95</v>
      </c>
      <c r="C225" s="1">
        <f t="shared" si="6"/>
        <v>-3.5574997364815009E-2</v>
      </c>
      <c r="H225" s="4">
        <v>45617</v>
      </c>
      <c r="I225" s="5">
        <v>2945.5</v>
      </c>
      <c r="J225" s="1">
        <f t="shared" si="7"/>
        <v>3.9366724040969282E-3</v>
      </c>
    </row>
    <row r="226" spans="1:10">
      <c r="A226" s="4">
        <v>45615</v>
      </c>
      <c r="B226" s="3">
        <v>948.7</v>
      </c>
      <c r="C226" s="1">
        <f t="shared" si="6"/>
        <v>2.6509413546851331E-2</v>
      </c>
      <c r="H226" s="4">
        <v>45615</v>
      </c>
      <c r="I226" s="5">
        <v>2933.95</v>
      </c>
      <c r="J226" s="1">
        <f t="shared" si="7"/>
        <v>1.5576593572059054E-2</v>
      </c>
    </row>
    <row r="227" spans="1:10">
      <c r="A227" s="4">
        <v>45614</v>
      </c>
      <c r="B227" s="3">
        <v>924.2</v>
      </c>
      <c r="C227" s="1">
        <f t="shared" si="6"/>
        <v>-5.4097917230137438E-5</v>
      </c>
      <c r="H227" s="4">
        <v>45614</v>
      </c>
      <c r="I227" s="5">
        <v>2888.95</v>
      </c>
      <c r="J227" s="1">
        <f t="shared" si="7"/>
        <v>1.017535884749197E-2</v>
      </c>
    </row>
    <row r="228" spans="1:10">
      <c r="A228" s="4">
        <v>45610</v>
      </c>
      <c r="B228" s="3">
        <v>924.25</v>
      </c>
      <c r="C228" s="1">
        <f t="shared" si="6"/>
        <v>-1.8894963112361291E-2</v>
      </c>
      <c r="H228" s="4">
        <v>45610</v>
      </c>
      <c r="I228" s="5">
        <v>2859.85</v>
      </c>
      <c r="J228" s="1">
        <f t="shared" si="7"/>
        <v>1.2372119367057175E-2</v>
      </c>
    </row>
    <row r="229" spans="1:10">
      <c r="A229" s="4">
        <v>45609</v>
      </c>
      <c r="B229" s="3">
        <v>942.05</v>
      </c>
      <c r="C229" s="1">
        <f t="shared" si="6"/>
        <v>-5.0687761374515104E-2</v>
      </c>
      <c r="H229" s="4">
        <v>45609</v>
      </c>
      <c r="I229" s="5">
        <v>2824.9</v>
      </c>
      <c r="J229" s="1">
        <f t="shared" si="7"/>
        <v>-4.6334631172812637E-3</v>
      </c>
    </row>
    <row r="230" spans="1:10">
      <c r="A230" s="4">
        <v>45608</v>
      </c>
      <c r="B230" s="3">
        <v>992.35</v>
      </c>
      <c r="C230" s="1">
        <f t="shared" si="6"/>
        <v>3.528225806451842E-4</v>
      </c>
      <c r="H230" s="4">
        <v>45608</v>
      </c>
      <c r="I230" s="5">
        <v>2838.05</v>
      </c>
      <c r="J230" s="1">
        <f t="shared" si="7"/>
        <v>-6.7371294578798162E-3</v>
      </c>
    </row>
    <row r="231" spans="1:10">
      <c r="A231" s="4">
        <v>45607</v>
      </c>
      <c r="B231" s="3">
        <v>992</v>
      </c>
      <c r="C231" s="1">
        <f t="shared" si="6"/>
        <v>-1.3965508672531142E-2</v>
      </c>
      <c r="H231" s="4">
        <v>45607</v>
      </c>
      <c r="I231" s="5">
        <v>2857.3</v>
      </c>
      <c r="J231" s="1">
        <f t="shared" si="7"/>
        <v>-2.4090496473708669E-3</v>
      </c>
    </row>
    <row r="232" spans="1:10">
      <c r="A232" s="4">
        <v>45604</v>
      </c>
      <c r="B232" s="5">
        <v>1006.05</v>
      </c>
      <c r="C232" s="1">
        <f t="shared" si="6"/>
        <v>1.0343961837810649E-2</v>
      </c>
      <c r="H232" s="4">
        <v>45604</v>
      </c>
      <c r="I232" s="5">
        <v>2864.2</v>
      </c>
      <c r="J232" s="1">
        <f t="shared" si="7"/>
        <v>-4.0661843515541293E-2</v>
      </c>
    </row>
    <row r="233" spans="1:10">
      <c r="A233" s="4">
        <v>45603</v>
      </c>
      <c r="B233" s="3">
        <v>995.75</v>
      </c>
      <c r="C233" s="1">
        <f t="shared" si="6"/>
        <v>-1.9979331725800853E-2</v>
      </c>
      <c r="H233" s="4">
        <v>45603</v>
      </c>
      <c r="I233" s="5">
        <v>2985.6</v>
      </c>
      <c r="J233" s="1">
        <f t="shared" si="7"/>
        <v>-4.1817773356012763E-2</v>
      </c>
    </row>
    <row r="234" spans="1:10">
      <c r="A234" s="4">
        <v>45602</v>
      </c>
      <c r="B234" s="5">
        <v>1016.05</v>
      </c>
      <c r="C234" s="1">
        <f t="shared" si="6"/>
        <v>4.156842644797535E-2</v>
      </c>
      <c r="H234" s="4">
        <v>45602</v>
      </c>
      <c r="I234" s="5">
        <v>3115.9</v>
      </c>
      <c r="J234" s="1">
        <f t="shared" si="7"/>
        <v>1.3497445126459083E-3</v>
      </c>
    </row>
    <row r="235" spans="1:10">
      <c r="A235" s="4">
        <v>45601</v>
      </c>
      <c r="B235" s="3">
        <v>975.5</v>
      </c>
      <c r="C235" s="1">
        <f t="shared" si="6"/>
        <v>5.5146111426068369E-3</v>
      </c>
      <c r="H235" s="4">
        <v>45601</v>
      </c>
      <c r="I235" s="5">
        <v>3111.7</v>
      </c>
      <c r="J235" s="1">
        <f t="shared" si="7"/>
        <v>4.2620204389344885E-2</v>
      </c>
    </row>
    <row r="236" spans="1:10">
      <c r="A236" s="4">
        <v>45600</v>
      </c>
      <c r="B236" s="3">
        <v>970.15</v>
      </c>
      <c r="C236" s="1">
        <f t="shared" si="6"/>
        <v>-8.1280032716491615E-3</v>
      </c>
      <c r="H236" s="4">
        <v>45600</v>
      </c>
      <c r="I236" s="5">
        <v>2984.5</v>
      </c>
      <c r="J236" s="1">
        <f t="shared" si="7"/>
        <v>-3.2937478735641526E-2</v>
      </c>
    </row>
    <row r="237" spans="1:10">
      <c r="A237" s="4">
        <v>45597</v>
      </c>
      <c r="B237" s="3">
        <v>978.1</v>
      </c>
      <c r="C237" s="1">
        <f t="shared" si="6"/>
        <v>5.3965153929177159E-3</v>
      </c>
      <c r="H237" s="4">
        <v>45597</v>
      </c>
      <c r="I237" s="5">
        <v>3086.15</v>
      </c>
      <c r="J237" s="1">
        <f t="shared" si="7"/>
        <v>6.9990537409861569E-3</v>
      </c>
    </row>
    <row r="238" spans="1:10">
      <c r="A238" s="4">
        <v>45596</v>
      </c>
      <c r="B238" s="3">
        <v>972.85</v>
      </c>
      <c r="C238" s="1">
        <f t="shared" si="6"/>
        <v>1.7891708082657623E-2</v>
      </c>
      <c r="H238" s="4">
        <v>45596</v>
      </c>
      <c r="I238" s="5">
        <v>3064.7</v>
      </c>
      <c r="J238" s="1">
        <f t="shared" si="7"/>
        <v>2.2708691372032012E-2</v>
      </c>
    </row>
    <row r="239" spans="1:10">
      <c r="A239" s="4">
        <v>45595</v>
      </c>
      <c r="B239" s="3">
        <v>955.75</v>
      </c>
      <c r="C239" s="1">
        <f t="shared" si="6"/>
        <v>5.1532839038754561E-3</v>
      </c>
      <c r="H239" s="4">
        <v>45595</v>
      </c>
      <c r="I239" s="5">
        <v>2996.65</v>
      </c>
      <c r="J239" s="1">
        <f t="shared" si="7"/>
        <v>2.4723442816352414E-2</v>
      </c>
    </row>
    <row r="240" spans="1:10">
      <c r="A240" s="4">
        <v>45594</v>
      </c>
      <c r="B240" s="3">
        <v>950.85</v>
      </c>
      <c r="C240" s="1">
        <f t="shared" si="6"/>
        <v>1.2727660027692029E-2</v>
      </c>
      <c r="H240" s="4">
        <v>45594</v>
      </c>
      <c r="I240" s="5">
        <v>2924.35</v>
      </c>
      <c r="J240" s="1">
        <f t="shared" si="7"/>
        <v>5.9878190652159038E-4</v>
      </c>
    </row>
    <row r="241" spans="1:10">
      <c r="A241" s="4">
        <v>45593</v>
      </c>
      <c r="B241" s="3">
        <v>938.9</v>
      </c>
      <c r="C241" s="1">
        <f t="shared" si="6"/>
        <v>-2.5076579616842301E-2</v>
      </c>
      <c r="H241" s="4">
        <v>45593</v>
      </c>
      <c r="I241" s="5">
        <v>2922.6</v>
      </c>
      <c r="J241" s="1">
        <f t="shared" si="7"/>
        <v>-1.5727612568618956E-2</v>
      </c>
    </row>
    <row r="242" spans="1:10">
      <c r="A242" s="4">
        <v>45590</v>
      </c>
      <c r="B242" s="3">
        <v>963.05</v>
      </c>
      <c r="C242" s="1">
        <f t="shared" si="6"/>
        <v>-3.4149032193360816E-2</v>
      </c>
      <c r="H242" s="4">
        <v>45590</v>
      </c>
      <c r="I242" s="5">
        <v>2969.3</v>
      </c>
      <c r="J242" s="1">
        <f t="shared" si="7"/>
        <v>-5.5537790942278948E-4</v>
      </c>
    </row>
    <row r="243" spans="1:10">
      <c r="A243" s="4">
        <v>45589</v>
      </c>
      <c r="B243" s="3">
        <v>997.1</v>
      </c>
      <c r="C243" s="1">
        <f t="shared" si="6"/>
        <v>2.2824024208852642E-2</v>
      </c>
      <c r="H243" s="4">
        <v>45589</v>
      </c>
      <c r="I243" s="5">
        <v>2970.95</v>
      </c>
      <c r="J243" s="1">
        <f t="shared" si="7"/>
        <v>8.3322020092315117E-3</v>
      </c>
    </row>
    <row r="244" spans="1:10">
      <c r="A244" s="4">
        <v>45588</v>
      </c>
      <c r="B244" s="3">
        <v>974.85</v>
      </c>
      <c r="C244" s="1">
        <f t="shared" si="6"/>
        <v>-2.7620070584624132E-3</v>
      </c>
      <c r="H244" s="4">
        <v>45588</v>
      </c>
      <c r="I244" s="5">
        <v>2946.4</v>
      </c>
      <c r="J244" s="1">
        <f t="shared" si="7"/>
        <v>-1.0411768657217706E-2</v>
      </c>
    </row>
    <row r="245" spans="1:10">
      <c r="A245" s="4">
        <v>45587</v>
      </c>
      <c r="B245" s="3">
        <v>977.55</v>
      </c>
      <c r="C245" s="1">
        <f t="shared" si="6"/>
        <v>-2.3280211819953107E-2</v>
      </c>
      <c r="H245" s="4">
        <v>45587</v>
      </c>
      <c r="I245" s="5">
        <v>2977.4</v>
      </c>
      <c r="J245" s="1">
        <f t="shared" si="7"/>
        <v>-5.1874024774703077E-2</v>
      </c>
    </row>
    <row r="246" spans="1:10">
      <c r="A246" s="4">
        <v>45586</v>
      </c>
      <c r="B246" s="5">
        <v>1000.85</v>
      </c>
      <c r="C246" s="1">
        <f t="shared" si="6"/>
        <v>3.1572617019143801E-3</v>
      </c>
      <c r="H246" s="4">
        <v>45586</v>
      </c>
      <c r="I246" s="5">
        <v>3140.3</v>
      </c>
      <c r="J246" s="1">
        <f t="shared" si="7"/>
        <v>-1.8518229125970839E-2</v>
      </c>
    </row>
    <row r="247" spans="1:10">
      <c r="A247" s="4">
        <v>45583</v>
      </c>
      <c r="B247" s="3">
        <v>997.7</v>
      </c>
      <c r="C247" s="1">
        <f t="shared" si="6"/>
        <v>-3.6450791431567155E-3</v>
      </c>
      <c r="H247" s="4">
        <v>45583</v>
      </c>
      <c r="I247" s="5">
        <v>3199.55</v>
      </c>
      <c r="J247" s="1">
        <f t="shared" si="7"/>
        <v>-1.1431925970555066E-2</v>
      </c>
    </row>
    <row r="248" spans="1:10">
      <c r="A248" s="4">
        <v>45582</v>
      </c>
      <c r="B248" s="5">
        <v>1001.35</v>
      </c>
      <c r="C248" s="1">
        <f t="shared" si="6"/>
        <v>-4.6717359972167707E-3</v>
      </c>
      <c r="H248" s="4">
        <v>45582</v>
      </c>
      <c r="I248" s="5">
        <v>3236.55</v>
      </c>
      <c r="J248" s="1">
        <f t="shared" si="7"/>
        <v>-3.0697354037825128E-2</v>
      </c>
    </row>
    <row r="249" spans="1:10">
      <c r="A249" s="4">
        <v>45581</v>
      </c>
      <c r="B249" s="5">
        <v>1006.05</v>
      </c>
      <c r="C249" s="1">
        <f t="shared" si="6"/>
        <v>8.6219860644642932E-3</v>
      </c>
      <c r="H249" s="4">
        <v>45581</v>
      </c>
      <c r="I249" s="5">
        <v>3339.05</v>
      </c>
      <c r="J249" s="1">
        <f t="shared" si="7"/>
        <v>1.1863995878663018E-2</v>
      </c>
    </row>
    <row r="250" spans="1:10">
      <c r="A250" s="7">
        <v>45580</v>
      </c>
      <c r="B250" s="8">
        <v>997.45</v>
      </c>
      <c r="C250" s="2">
        <f t="shared" si="6"/>
        <v>-1.8512959071349036E-3</v>
      </c>
      <c r="H250" s="4">
        <v>45580</v>
      </c>
      <c r="I250" s="5">
        <v>3299.9</v>
      </c>
      <c r="J250" s="1">
        <f t="shared" si="7"/>
        <v>1.2938377714680406E-2</v>
      </c>
    </row>
    <row r="251" spans="1:10">
      <c r="A251" s="4">
        <v>45579</v>
      </c>
      <c r="B251" s="3">
        <v>999.3</v>
      </c>
      <c r="C251" s="1"/>
      <c r="H251" s="4">
        <v>45579</v>
      </c>
      <c r="I251" s="5">
        <v>3257.75</v>
      </c>
      <c r="J251" s="1"/>
    </row>
    <row r="252" spans="1:10">
      <c r="A252" s="6"/>
      <c r="B252" s="6"/>
      <c r="C252" s="6"/>
    </row>
    <row r="253" spans="1:10">
      <c r="A253" s="6"/>
      <c r="B253" s="6"/>
      <c r="C253" s="6"/>
    </row>
    <row r="254" spans="1:10">
      <c r="A254" s="6"/>
      <c r="B254" s="6"/>
      <c r="C254" s="6"/>
    </row>
    <row r="255" spans="1:10">
      <c r="A255" s="6"/>
      <c r="B255" s="6"/>
      <c r="C255" s="6"/>
    </row>
    <row r="256" spans="1:10">
      <c r="A256" s="6"/>
      <c r="B256" s="6"/>
      <c r="C256" s="6"/>
    </row>
    <row r="257" spans="1:3">
      <c r="A257" s="6"/>
      <c r="B257" s="6"/>
      <c r="C257" s="6"/>
    </row>
    <row r="258" spans="1:3">
      <c r="A258" s="6"/>
      <c r="B258" s="6"/>
      <c r="C258" s="6"/>
    </row>
    <row r="259" spans="1:3">
      <c r="A259" s="6"/>
      <c r="B259" s="6"/>
      <c r="C25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78501-956B-45DC-BB36-B17AB79E6C9F}">
  <dimension ref="A1:F10"/>
  <sheetViews>
    <sheetView tabSelected="1" workbookViewId="0">
      <selection activeCell="B9" sqref="B9"/>
    </sheetView>
  </sheetViews>
  <sheetFormatPr defaultRowHeight="15"/>
  <cols>
    <col min="1" max="1" width="21.28515625" bestFit="1" customWidth="1"/>
    <col min="2" max="2" width="15.140625" customWidth="1"/>
    <col min="3" max="3" width="18.42578125" customWidth="1"/>
    <col min="4" max="4" width="14.5703125" customWidth="1"/>
    <col min="5" max="5" width="10.140625" bestFit="1" customWidth="1"/>
  </cols>
  <sheetData>
    <row r="1" spans="1:6">
      <c r="A1" s="12" t="s">
        <v>11</v>
      </c>
      <c r="B1" s="12" t="s">
        <v>3</v>
      </c>
      <c r="C1" s="12" t="s">
        <v>7</v>
      </c>
      <c r="D1" s="12" t="s">
        <v>12</v>
      </c>
      <c r="E1" s="12" t="s">
        <v>13</v>
      </c>
      <c r="F1" s="12" t="s">
        <v>14</v>
      </c>
    </row>
    <row r="2" spans="1:6">
      <c r="A2" s="1" t="s">
        <v>15</v>
      </c>
      <c r="B2" s="1">
        <f>Sheet1!F1</f>
        <v>1.4750779963120376E-3</v>
      </c>
      <c r="C2" s="1">
        <f>Sheet1!F4</f>
        <v>2.6415714326062538E-2</v>
      </c>
      <c r="D2" s="1">
        <f>_xlfn.COVARIANCE.P(Sheet1!C2:C146, Sheet1!J2:J146)</f>
        <v>1.1841249166454349E-4</v>
      </c>
      <c r="E2" s="1">
        <f>(D2)/(C2*C3)</f>
        <v>0.20870710619924121</v>
      </c>
      <c r="F2" s="1">
        <f>(C3)^2-D2/(C2)^2+(C3)^2-2*D2</f>
        <v>-0.1690106659054588</v>
      </c>
    </row>
    <row r="3" spans="1:6">
      <c r="A3" s="1" t="s">
        <v>16</v>
      </c>
      <c r="B3" s="1">
        <f>Sheet1!M1</f>
        <v>-1.0112510232854228E-3</v>
      </c>
      <c r="C3" s="1">
        <f>Sheet1!M4</f>
        <v>2.1478202073088783E-2</v>
      </c>
      <c r="D3" s="1"/>
      <c r="E3" s="1"/>
      <c r="F3" s="1">
        <f>1-F2</f>
        <v>1.1690106659054589</v>
      </c>
    </row>
    <row r="6" spans="1:6">
      <c r="B6" s="10" t="s">
        <v>17</v>
      </c>
    </row>
    <row r="7" spans="1:6">
      <c r="B7" s="1">
        <f>(B2*F2)+(B3*F3)</f>
        <v>-1.431467146547656E-3</v>
      </c>
    </row>
    <row r="9" spans="1:6">
      <c r="B9" s="10" t="s">
        <v>18</v>
      </c>
    </row>
    <row r="10" spans="1:6">
      <c r="B10" s="1">
        <f>((C2*F2)^2+(C3*F3)^2+2*E2*C2*C3*F2*F3)^0.5</f>
        <v>2.4567568406349223E-2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2025-10-14T14:32:30Z</dcterms:created>
  <dcterms:modified xsi:type="dcterms:W3CDTF">2025-10-14T15:14:06Z</dcterms:modified>
  <cp:category/>
  <cp:contentStatus/>
</cp:coreProperties>
</file>