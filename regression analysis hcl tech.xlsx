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RITA BISWAS\Desktop\classwork\4bbaft sapm\"/>
    </mc:Choice>
  </mc:AlternateContent>
  <xr:revisionPtr revIDLastSave="0" documentId="13_ncr:1_{9C4F78C3-5E7F-4E8A-9625-54398D9FA119}" xr6:coauthVersionLast="47" xr6:coauthVersionMax="47" xr10:uidLastSave="{00000000-0000-0000-0000-000000000000}"/>
  <bookViews>
    <workbookView xWindow="-108" yWindow="-108" windowWidth="23256" windowHeight="12456" activeTab="2" xr2:uid="{ADEF7390-9F8E-4BB6-B61A-BF95AFD12E60}"/>
  </bookViews>
  <sheets>
    <sheet name="HCL+NIFTY close data+formulas" sheetId="1" r:id="rId1"/>
    <sheet name="Regression" sheetId="2" r:id="rId2"/>
    <sheet name="Scatter plo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  <c r="F4" i="1" l="1"/>
  <c r="F2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2" i="1" l="1"/>
</calcChain>
</file>

<file path=xl/sharedStrings.xml><?xml version="1.0" encoding="utf-8"?>
<sst xmlns="http://schemas.openxmlformats.org/spreadsheetml/2006/main" count="49" uniqueCount="47">
  <si>
    <t>DATE</t>
  </si>
  <si>
    <t>CLOSE</t>
  </si>
  <si>
    <t>DAILY RETURN</t>
  </si>
  <si>
    <t>LOG RETURN</t>
  </si>
  <si>
    <t>NIFTY 50</t>
  </si>
  <si>
    <t>NIFTY 50 RETURN</t>
  </si>
  <si>
    <t>BETA</t>
  </si>
  <si>
    <t>AVERAGE</t>
  </si>
  <si>
    <t xml:space="preserve">YEARLY RETURN </t>
  </si>
  <si>
    <t>VARIANCE</t>
  </si>
  <si>
    <t>STANDARD DEVIATION</t>
  </si>
  <si>
    <t>STANDARD DEVIATION (FORMULA)</t>
  </si>
  <si>
    <t>YEARLY RISK</t>
  </si>
  <si>
    <t>BETA (COVAR METHOD)</t>
  </si>
  <si>
    <t>COVARIANCE</t>
  </si>
  <si>
    <t>NIFTY VARIANCE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</si>
  <si>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</si>
  <si>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</si>
  <si>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</si>
  <si>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</si>
  <si>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</si>
  <si>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</si>
  <si>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</si>
  <si>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</si>
  <si>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</si>
  <si>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</si>
  <si>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</si>
  <si>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</si>
  <si>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</si>
  <si>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</si>
  <si>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</si>
  <si>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</si>
  <si>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</si>
  <si>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</si>
  <si>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</si>
  <si>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</si>
  <si>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</si>
  <si>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</si>
  <si>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</si>
  <si>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</si>
  <si>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</si>
  <si>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COMPANY NAME </t>
  </si>
  <si>
    <t>YEARLY RETURN</t>
  </si>
  <si>
    <t>HCLTECH</t>
  </si>
  <si>
    <t>ETERNAL</t>
  </si>
  <si>
    <t>HINDUSTAN UNILEVER LTD</t>
  </si>
  <si>
    <t>SUNPHARMA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</si>
</sst>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12" xfId="0" applyFill="1" applyBorder="1"/>
    <xf numFmtId="15" fontId="0" fillId="0" borderId="12" xfId="0" applyNumberFormat="1" applyBorder="1"/>
    <xf numFmtId="4" fontId="0" fillId="0" borderId="12" xfId="0" applyNumberFormat="1" applyBorder="1"/>
    <xf numFmtId="0" fontId="0" fillId="0" borderId="12" xfId="0" applyBorder="1"/>
    <xf numFmtId="0" fontId="0" fillId="34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 showing relation between risk and return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plot'!$C$2</c:f>
              <c:strCache>
                <c:ptCount val="1"/>
                <c:pt idx="0">
                  <c:v>YEARLY RISK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 plot'!$B$3:$B$6</c:f>
              <c:strCache>
                <c:ptCount val="4"/>
                <c:pt idx="0">
                  <c:v>HCLTECH</c:v>
                </c:pt>
                <c:pt idx="1">
                  <c:v>ETERNAL</c:v>
                </c:pt>
                <c:pt idx="2">
                  <c:v>HINDUSTAN UNILEVER LTD</c:v>
                </c:pt>
                <c:pt idx="3">
                  <c:v>SUNPHARMA</c:v>
                </c:pt>
              </c:strCache>
            </c:strRef>
          </c:xVal>
          <c:yVal>
            <c:numRef>
              <c:f>'Scatter plot'!$C$3:$C$6</c:f>
              <c:numCache>
                <c:formatCode>General</c:formatCode>
                <c:ptCount val="4"/>
                <c:pt idx="0">
                  <c:v>0.13758863599999999</c:v>
                </c:pt>
                <c:pt idx="1">
                  <c:v>0.20598361400000001</c:v>
                </c:pt>
                <c:pt idx="2">
                  <c:v>0.11826613399999999</c:v>
                </c:pt>
                <c:pt idx="3">
                  <c:v>0.118821074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D-4490-8C66-5BDF3CBE72B7}"/>
            </c:ext>
          </c:extLst>
        </c:ser>
        <c:ser>
          <c:idx val="1"/>
          <c:order val="1"/>
          <c:tx>
            <c:strRef>
              <c:f>'Scatter plot'!$D$2</c:f>
              <c:strCache>
                <c:ptCount val="1"/>
                <c:pt idx="0">
                  <c:v>YEARLY RETURN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'Scatter plot'!$B$3:$B$6</c:f>
              <c:strCache>
                <c:ptCount val="4"/>
                <c:pt idx="0">
                  <c:v>HCLTECH</c:v>
                </c:pt>
                <c:pt idx="1">
                  <c:v>ETERNAL</c:v>
                </c:pt>
                <c:pt idx="2">
                  <c:v>HINDUSTAN UNILEVER LTD</c:v>
                </c:pt>
                <c:pt idx="3">
                  <c:v>SUNPHARMA</c:v>
                </c:pt>
              </c:strCache>
            </c:strRef>
          </c:xVal>
          <c:yVal>
            <c:numRef>
              <c:f>'Scatter plot'!$D$3:$D$6</c:f>
              <c:numCache>
                <c:formatCode>General</c:formatCode>
                <c:ptCount val="4"/>
                <c:pt idx="0">
                  <c:v>-4.7940690000000001E-2</c:v>
                </c:pt>
                <c:pt idx="1">
                  <c:v>8.4503655999999996E-2</c:v>
                </c:pt>
                <c:pt idx="2">
                  <c:v>7.9295239000000003E-2</c:v>
                </c:pt>
                <c:pt idx="3">
                  <c:v>-8.7070440000000006E-3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BD-4490-8C66-5BDF3CBE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258031"/>
        <c:axId val="830260431"/>
      </c:scatterChart>
      <c:valAx>
        <c:axId val="8302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60431"/>
        <c:crosses val="autoZero"/>
        <c:crossBetween val="midCat"/>
      </c:valAx>
      <c:valAx>
        <c:axId val="8302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5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2</xdr:row>
      <xdr:rowOff>26670</xdr:rowOff>
    </xdr:from>
    <xdr:to>
      <xdr:col>13</xdr:col>
      <xdr:colOff>289560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A176E-3676-D37C-42D3-6598F5225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BB17-9634-42CC-AEB7-E0BF0303380B}">
  <dimension ref="A1:I127"/>
  <sheetViews>
    <sheetView workbookViewId="0">
      <selection activeCell="I6" sqref="I6"/>
    </sheetView>
  </sheetViews>
  <sheetFormatPr defaultRowHeight="14.4" x14ac:dyDescent="0.3"/>
  <cols>
    <col min="1" max="1" width="13.44140625" customWidth="1"/>
    <col min="3" max="3" width="15.33203125" customWidth="1"/>
    <col min="4" max="4" width="13.77734375" customWidth="1"/>
    <col min="5" max="5" width="10.77734375" customWidth="1"/>
    <col min="6" max="6" width="18.5546875" customWidth="1"/>
    <col min="8" max="8" width="34.109375" customWidth="1"/>
    <col min="9" max="9" width="12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9" x14ac:dyDescent="0.3">
      <c r="A2" s="5">
        <v>46022</v>
      </c>
      <c r="B2" s="6">
        <v>1623.3</v>
      </c>
      <c r="C2" s="7">
        <f>(B2-B3)/ B3</f>
        <v>5.0148588410103443E-3</v>
      </c>
      <c r="D2" s="7">
        <f>LN(B2/B3)</f>
        <v>5.0023263181715166E-3</v>
      </c>
      <c r="E2" s="7">
        <v>26129.599999999999</v>
      </c>
      <c r="F2" s="7">
        <f>(E2-E3)/E3</f>
        <v>7.353834113694324E-3</v>
      </c>
    </row>
    <row r="3" spans="1:9" x14ac:dyDescent="0.3">
      <c r="A3" s="5">
        <v>46021</v>
      </c>
      <c r="B3" s="6">
        <v>1615.2</v>
      </c>
      <c r="C3" s="7">
        <f t="shared" ref="C3:C66" si="0">(B3-B4)/ B4</f>
        <v>-9.5658572479763986E-3</v>
      </c>
      <c r="D3" s="7">
        <f t="shared" ref="D3:D66" si="1">LN(B3/B4)</f>
        <v>-9.6119039464705718E-3</v>
      </c>
      <c r="E3" s="7">
        <v>25938.85</v>
      </c>
      <c r="F3" s="7">
        <f t="shared" ref="F3:F66" si="2">(E3-E4)/E4</f>
        <v>-1.2527898666646109E-4</v>
      </c>
    </row>
    <row r="4" spans="1:9" x14ac:dyDescent="0.3">
      <c r="A4" s="5">
        <v>46020</v>
      </c>
      <c r="B4" s="6">
        <v>1630.8</v>
      </c>
      <c r="C4" s="7">
        <f t="shared" si="0"/>
        <v>-1.8122704557769966E-2</v>
      </c>
      <c r="D4" s="7">
        <f t="shared" si="1"/>
        <v>-1.8288932159854904E-2</v>
      </c>
      <c r="E4" s="7">
        <v>25942.1</v>
      </c>
      <c r="F4" s="7">
        <f>(E4-E5)/E5</f>
        <v>-3.8475864266981309E-3</v>
      </c>
      <c r="H4" s="4" t="s">
        <v>6</v>
      </c>
      <c r="I4" s="7">
        <f>SLOPE(C2:C126, F2:F126)</f>
        <v>1.2683592662984369</v>
      </c>
    </row>
    <row r="5" spans="1:9" x14ac:dyDescent="0.3">
      <c r="A5" s="5">
        <v>46017</v>
      </c>
      <c r="B5" s="6">
        <v>1660.9</v>
      </c>
      <c r="C5" s="7">
        <f t="shared" si="0"/>
        <v>-8.2402818415238284E-3</v>
      </c>
      <c r="D5" s="7">
        <f t="shared" si="1"/>
        <v>-8.2744206354793508E-3</v>
      </c>
      <c r="E5" s="7">
        <v>26042.3</v>
      </c>
      <c r="F5" s="7">
        <f t="shared" si="2"/>
        <v>-3.8175969030796791E-3</v>
      </c>
      <c r="H5" s="4" t="s">
        <v>7</v>
      </c>
      <c r="I5" s="7">
        <f>AVERAGE(C2:C126)</f>
        <v>-3.804816625503985E-4</v>
      </c>
    </row>
    <row r="6" spans="1:9" x14ac:dyDescent="0.3">
      <c r="A6" s="5">
        <v>46015</v>
      </c>
      <c r="B6" s="6">
        <v>1674.7</v>
      </c>
      <c r="C6" s="7">
        <f t="shared" si="0"/>
        <v>-3.095422346568275E-3</v>
      </c>
      <c r="D6" s="7">
        <f t="shared" si="1"/>
        <v>-3.1002230757359995E-3</v>
      </c>
      <c r="E6" s="7">
        <v>26142.1</v>
      </c>
      <c r="F6" s="7">
        <f t="shared" si="2"/>
        <v>-1.3389540114184665E-3</v>
      </c>
      <c r="H6" s="4" t="s">
        <v>8</v>
      </c>
      <c r="I6" s="7">
        <f>I5*126</f>
        <v>-4.7940689481350211E-2</v>
      </c>
    </row>
    <row r="7" spans="1:9" x14ac:dyDescent="0.3">
      <c r="A7" s="5">
        <v>46014</v>
      </c>
      <c r="B7" s="6">
        <v>1679.9</v>
      </c>
      <c r="C7" s="7">
        <f t="shared" si="0"/>
        <v>5.7474705142789538E-3</v>
      </c>
      <c r="D7" s="7">
        <f t="shared" si="1"/>
        <v>5.7310168202668096E-3</v>
      </c>
      <c r="E7" s="7">
        <v>26177.15</v>
      </c>
      <c r="F7" s="7">
        <f t="shared" si="2"/>
        <v>1.8148889670034082E-4</v>
      </c>
      <c r="H7" s="4" t="s">
        <v>9</v>
      </c>
      <c r="I7" s="7">
        <f>_xlfn.VAR.S(C:C)</f>
        <v>1.5024311608908918E-4</v>
      </c>
    </row>
    <row r="8" spans="1:9" x14ac:dyDescent="0.3">
      <c r="A8" s="5">
        <v>46013</v>
      </c>
      <c r="B8" s="6">
        <v>1670.3</v>
      </c>
      <c r="C8" s="7">
        <f t="shared" si="0"/>
        <v>1.6987335606429531E-2</v>
      </c>
      <c r="D8" s="7">
        <f t="shared" si="1"/>
        <v>1.6844664291178094E-2</v>
      </c>
      <c r="E8" s="7">
        <v>26172.400000000001</v>
      </c>
      <c r="F8" s="7">
        <f t="shared" si="2"/>
        <v>7.933329225460594E-3</v>
      </c>
      <c r="H8" s="4" t="s">
        <v>10</v>
      </c>
      <c r="I8" s="7">
        <f>SQRT(I7)</f>
        <v>1.2257369868331834E-2</v>
      </c>
    </row>
    <row r="9" spans="1:9" x14ac:dyDescent="0.3">
      <c r="A9" s="5">
        <v>46010</v>
      </c>
      <c r="B9" s="6">
        <v>1642.4</v>
      </c>
      <c r="C9" s="7">
        <f t="shared" si="0"/>
        <v>-1.1436138196701577E-2</v>
      </c>
      <c r="D9" s="7">
        <f t="shared" si="1"/>
        <v>-1.1502033700247301E-2</v>
      </c>
      <c r="E9" s="7">
        <v>25966.400000000001</v>
      </c>
      <c r="F9" s="7">
        <f t="shared" si="2"/>
        <v>5.8433773442751434E-3</v>
      </c>
      <c r="H9" s="4" t="s">
        <v>11</v>
      </c>
      <c r="I9" s="7">
        <f>_xlfn.STDEV.S(C:C)</f>
        <v>1.2257369868331834E-2</v>
      </c>
    </row>
    <row r="10" spans="1:9" x14ac:dyDescent="0.3">
      <c r="A10" s="5">
        <v>46009</v>
      </c>
      <c r="B10" s="6">
        <v>1661.4</v>
      </c>
      <c r="C10" s="7">
        <f t="shared" si="0"/>
        <v>3.8670694864048889E-3</v>
      </c>
      <c r="D10" s="7">
        <f t="shared" si="1"/>
        <v>3.859611593807973E-3</v>
      </c>
      <c r="E10" s="7">
        <v>25815.55</v>
      </c>
      <c r="F10" s="7">
        <f t="shared" si="2"/>
        <v>-1.1619552608492731E-4</v>
      </c>
      <c r="H10" s="4" t="s">
        <v>12</v>
      </c>
      <c r="I10" s="7">
        <f>I9*SQRT(126)</f>
        <v>0.13758863553079242</v>
      </c>
    </row>
    <row r="11" spans="1:9" x14ac:dyDescent="0.3">
      <c r="A11" s="5">
        <v>46008</v>
      </c>
      <c r="B11" s="6">
        <v>1655</v>
      </c>
      <c r="C11" s="7">
        <f t="shared" si="0"/>
        <v>1.9979415148029026E-3</v>
      </c>
      <c r="D11" s="7">
        <f t="shared" si="1"/>
        <v>1.9959482841185251E-3</v>
      </c>
      <c r="E11" s="7">
        <v>25818.55</v>
      </c>
      <c r="F11" s="7">
        <f t="shared" si="2"/>
        <v>-1.6067223251263248E-3</v>
      </c>
      <c r="H11" s="4" t="s">
        <v>13</v>
      </c>
      <c r="I11" s="7">
        <f>_xlfn.COVARIANCE.S(C2:C126,F2:F126)/_xlfn.VAR.S(F2:F126)</f>
        <v>1.2683592662984364</v>
      </c>
    </row>
    <row r="12" spans="1:9" x14ac:dyDescent="0.3">
      <c r="A12" s="5">
        <v>46007</v>
      </c>
      <c r="B12" s="6">
        <v>1651.7</v>
      </c>
      <c r="C12" s="7">
        <f t="shared" si="0"/>
        <v>-1.9180522565320639E-2</v>
      </c>
      <c r="D12" s="7">
        <f t="shared" si="1"/>
        <v>-1.9366855275227392E-2</v>
      </c>
      <c r="E12" s="7">
        <v>25860.1</v>
      </c>
      <c r="F12" s="7">
        <f t="shared" si="2"/>
        <v>-6.4240240055634173E-3</v>
      </c>
      <c r="H12" s="4" t="s">
        <v>14</v>
      </c>
      <c r="I12" s="7">
        <f>_xlfn.COVARIANCE.S(C2:C126,F2:F126)</f>
        <v>3.1883019499568579E-5</v>
      </c>
    </row>
    <row r="13" spans="1:9" x14ac:dyDescent="0.3">
      <c r="A13" s="5">
        <v>46006</v>
      </c>
      <c r="B13" s="6">
        <v>1684</v>
      </c>
      <c r="C13" s="7">
        <f t="shared" si="0"/>
        <v>6.4546975854649496E-3</v>
      </c>
      <c r="D13" s="7">
        <f t="shared" si="1"/>
        <v>6.4339552342286077E-3</v>
      </c>
      <c r="E13" s="7">
        <v>26027.3</v>
      </c>
      <c r="F13" s="7">
        <f t="shared" si="2"/>
        <v>-7.5440694591886787E-4</v>
      </c>
      <c r="H13" s="4" t="s">
        <v>15</v>
      </c>
      <c r="I13" s="7">
        <f>_xlfn.VAR.S(F2:F126)</f>
        <v>2.5137214941170084E-5</v>
      </c>
    </row>
    <row r="14" spans="1:9" x14ac:dyDescent="0.3">
      <c r="A14" s="5">
        <v>46003</v>
      </c>
      <c r="B14" s="6">
        <v>1673.2</v>
      </c>
      <c r="C14" s="7">
        <f t="shared" si="0"/>
        <v>4.7835446065531837E-4</v>
      </c>
      <c r="D14" s="7">
        <f t="shared" si="1"/>
        <v>4.7824008563331695E-4</v>
      </c>
      <c r="E14" s="7">
        <v>26046.95</v>
      </c>
      <c r="F14" s="7">
        <f t="shared" si="2"/>
        <v>5.7300505240641449E-3</v>
      </c>
    </row>
    <row r="15" spans="1:9" x14ac:dyDescent="0.3">
      <c r="A15" s="5">
        <v>46002</v>
      </c>
      <c r="B15" s="6">
        <v>1672.4</v>
      </c>
      <c r="C15" s="7">
        <f t="shared" si="0"/>
        <v>3.8415366146459127E-3</v>
      </c>
      <c r="D15" s="7">
        <f t="shared" si="1"/>
        <v>3.8341767556219026E-3</v>
      </c>
      <c r="E15" s="7">
        <v>25898.55</v>
      </c>
      <c r="F15" s="7">
        <f t="shared" si="2"/>
        <v>5.4565571861169065E-3</v>
      </c>
    </row>
    <row r="16" spans="1:9" x14ac:dyDescent="0.3">
      <c r="A16" s="5">
        <v>46001</v>
      </c>
      <c r="B16" s="6">
        <v>1666</v>
      </c>
      <c r="C16" s="7">
        <f t="shared" si="0"/>
        <v>5.0675675675676225E-3</v>
      </c>
      <c r="D16" s="7">
        <f t="shared" si="1"/>
        <v>5.0547706616240543E-3</v>
      </c>
      <c r="E16" s="7">
        <v>25758</v>
      </c>
      <c r="F16" s="7">
        <f t="shared" si="2"/>
        <v>-3.1598725214931878E-3</v>
      </c>
    </row>
    <row r="17" spans="1:6" x14ac:dyDescent="0.3">
      <c r="A17" s="5">
        <v>46000</v>
      </c>
      <c r="B17" s="6">
        <v>1657.6</v>
      </c>
      <c r="C17" s="7">
        <f t="shared" si="0"/>
        <v>-1.8358403411109798E-2</v>
      </c>
      <c r="D17" s="7">
        <f t="shared" si="1"/>
        <v>-1.8529010170235671E-2</v>
      </c>
      <c r="E17" s="7">
        <v>25839.65</v>
      </c>
      <c r="F17" s="7">
        <f t="shared" si="2"/>
        <v>-4.6570662023723616E-3</v>
      </c>
    </row>
    <row r="18" spans="1:6" x14ac:dyDescent="0.3">
      <c r="A18" s="5">
        <v>45999</v>
      </c>
      <c r="B18" s="6">
        <v>1688.6</v>
      </c>
      <c r="C18" s="7">
        <f t="shared" si="0"/>
        <v>3.3273915626856262E-3</v>
      </c>
      <c r="D18" s="7">
        <f t="shared" si="1"/>
        <v>3.3218680445935519E-3</v>
      </c>
      <c r="E18" s="7">
        <v>25960.55</v>
      </c>
      <c r="F18" s="7">
        <f t="shared" si="2"/>
        <v>-8.6265988707901007E-3</v>
      </c>
    </row>
    <row r="19" spans="1:6" x14ac:dyDescent="0.3">
      <c r="A19" s="5">
        <v>45996</v>
      </c>
      <c r="B19" s="6">
        <v>1683</v>
      </c>
      <c r="C19" s="7">
        <f t="shared" si="0"/>
        <v>1.716426930980303E-2</v>
      </c>
      <c r="D19" s="7">
        <f t="shared" si="1"/>
        <v>1.7018627434723595E-2</v>
      </c>
      <c r="E19" s="7">
        <v>26186.45</v>
      </c>
      <c r="F19" s="7">
        <f t="shared" si="2"/>
        <v>5.8654631007826656E-3</v>
      </c>
    </row>
    <row r="20" spans="1:6" x14ac:dyDescent="0.3">
      <c r="A20" s="5">
        <v>45995</v>
      </c>
      <c r="B20" s="6">
        <v>1654.6</v>
      </c>
      <c r="C20" s="7">
        <f t="shared" si="0"/>
        <v>8.594940566900279E-3</v>
      </c>
      <c r="D20" s="7">
        <f t="shared" si="1"/>
        <v>8.5582143549262166E-3</v>
      </c>
      <c r="E20" s="7">
        <v>26033.75</v>
      </c>
      <c r="F20" s="7">
        <f t="shared" si="2"/>
        <v>1.8375278996382667E-3</v>
      </c>
    </row>
    <row r="21" spans="1:6" x14ac:dyDescent="0.3">
      <c r="A21" s="5">
        <v>45994</v>
      </c>
      <c r="B21" s="6">
        <v>1640.5</v>
      </c>
      <c r="C21" s="7">
        <f t="shared" si="0"/>
        <v>3.0571690614490982E-3</v>
      </c>
      <c r="D21" s="7">
        <f t="shared" si="1"/>
        <v>3.0525054227177736E-3</v>
      </c>
      <c r="E21" s="7">
        <v>25986</v>
      </c>
      <c r="F21" s="7">
        <f t="shared" si="2"/>
        <v>-1.77472514808586E-3</v>
      </c>
    </row>
    <row r="22" spans="1:6" x14ac:dyDescent="0.3">
      <c r="A22" s="5">
        <v>45993</v>
      </c>
      <c r="B22" s="6">
        <v>1635.5</v>
      </c>
      <c r="C22" s="7">
        <f t="shared" si="0"/>
        <v>-4.5042303244263743E-3</v>
      </c>
      <c r="D22" s="7">
        <f t="shared" si="1"/>
        <v>-4.5144049338525878E-3</v>
      </c>
      <c r="E22" s="7">
        <v>26032.2</v>
      </c>
      <c r="F22" s="7">
        <f t="shared" si="2"/>
        <v>-5.4840835506145677E-3</v>
      </c>
    </row>
    <row r="23" spans="1:6" x14ac:dyDescent="0.3">
      <c r="A23" s="5">
        <v>45992</v>
      </c>
      <c r="B23" s="6">
        <v>1642.9</v>
      </c>
      <c r="C23" s="7">
        <f t="shared" si="0"/>
        <v>1.1513360423593182E-2</v>
      </c>
      <c r="D23" s="7">
        <f t="shared" si="1"/>
        <v>1.144758606398056E-2</v>
      </c>
      <c r="E23" s="7">
        <v>26175.75</v>
      </c>
      <c r="F23" s="7">
        <f t="shared" si="2"/>
        <v>-1.038051059136499E-3</v>
      </c>
    </row>
    <row r="24" spans="1:6" x14ac:dyDescent="0.3">
      <c r="A24" s="5">
        <v>45989</v>
      </c>
      <c r="B24" s="6">
        <v>1624.2</v>
      </c>
      <c r="C24" s="7">
        <f t="shared" si="0"/>
        <v>-2.9465930018415928E-3</v>
      </c>
      <c r="D24" s="7">
        <f t="shared" si="1"/>
        <v>-2.9509427537346444E-3</v>
      </c>
      <c r="E24" s="7">
        <v>26202.95</v>
      </c>
      <c r="F24" s="7">
        <f t="shared" si="2"/>
        <v>-4.806307706684981E-4</v>
      </c>
    </row>
    <row r="25" spans="1:6" x14ac:dyDescent="0.3">
      <c r="A25" s="5">
        <v>45988</v>
      </c>
      <c r="B25" s="6">
        <v>1629</v>
      </c>
      <c r="C25" s="7">
        <f t="shared" si="0"/>
        <v>6.8607454107175404E-3</v>
      </c>
      <c r="D25" s="7">
        <f t="shared" si="1"/>
        <v>6.8373175907539734E-3</v>
      </c>
      <c r="E25" s="7">
        <v>26215.55</v>
      </c>
      <c r="F25" s="7">
        <f t="shared" si="2"/>
        <v>3.9114224985022116E-4</v>
      </c>
    </row>
    <row r="26" spans="1:6" x14ac:dyDescent="0.3">
      <c r="A26" s="5">
        <v>45987</v>
      </c>
      <c r="B26" s="6">
        <v>1617.9</v>
      </c>
      <c r="C26" s="7">
        <f t="shared" si="0"/>
        <v>1.0492786209481096E-2</v>
      </c>
      <c r="D26" s="7">
        <f t="shared" si="1"/>
        <v>1.0438119003282216E-2</v>
      </c>
      <c r="E26" s="7">
        <v>26205.3</v>
      </c>
      <c r="F26" s="7">
        <f t="shared" si="2"/>
        <v>1.2381783904067252E-2</v>
      </c>
    </row>
    <row r="27" spans="1:6" x14ac:dyDescent="0.3">
      <c r="A27" s="5">
        <v>45986</v>
      </c>
      <c r="B27" s="6">
        <v>1601.1</v>
      </c>
      <c r="C27" s="7">
        <f t="shared" si="0"/>
        <v>-5.7749627421759698E-3</v>
      </c>
      <c r="D27" s="7">
        <f t="shared" si="1"/>
        <v>-5.7917023175729559E-3</v>
      </c>
      <c r="E27" s="7">
        <v>25884.799999999999</v>
      </c>
      <c r="F27" s="7">
        <f t="shared" si="2"/>
        <v>-2.8775592750245856E-3</v>
      </c>
    </row>
    <row r="28" spans="1:6" x14ac:dyDescent="0.3">
      <c r="A28" s="5">
        <v>45985</v>
      </c>
      <c r="B28" s="6">
        <v>1610.4</v>
      </c>
      <c r="C28" s="7">
        <f t="shared" si="0"/>
        <v>1.4925373134328924E-3</v>
      </c>
      <c r="D28" s="7">
        <f t="shared" si="1"/>
        <v>1.4914245866701199E-3</v>
      </c>
      <c r="E28" s="7">
        <v>25959.5</v>
      </c>
      <c r="F28" s="7">
        <f t="shared" si="2"/>
        <v>-4.1679213906626071E-3</v>
      </c>
    </row>
    <row r="29" spans="1:6" x14ac:dyDescent="0.3">
      <c r="A29" s="5">
        <v>45982</v>
      </c>
      <c r="B29" s="6">
        <v>1608</v>
      </c>
      <c r="C29" s="7">
        <f t="shared" si="0"/>
        <v>-2.2730035249787339E-2</v>
      </c>
      <c r="D29" s="7">
        <f t="shared" si="1"/>
        <v>-2.2992344995918308E-2</v>
      </c>
      <c r="E29" s="7">
        <v>26068.15</v>
      </c>
      <c r="F29" s="7">
        <f t="shared" si="2"/>
        <v>-4.734242893385995E-3</v>
      </c>
    </row>
    <row r="30" spans="1:6" x14ac:dyDescent="0.3">
      <c r="A30" s="5">
        <v>45981</v>
      </c>
      <c r="B30" s="6">
        <v>1645.4</v>
      </c>
      <c r="C30" s="7">
        <f t="shared" si="0"/>
        <v>-1.0345242391434993E-2</v>
      </c>
      <c r="D30" s="7">
        <f t="shared" si="1"/>
        <v>-1.0399126362157668E-2</v>
      </c>
      <c r="E30" s="7">
        <v>26192.15</v>
      </c>
      <c r="F30" s="7">
        <f t="shared" si="2"/>
        <v>5.3545416685058904E-3</v>
      </c>
    </row>
    <row r="31" spans="1:6" x14ac:dyDescent="0.3">
      <c r="A31" s="5">
        <v>45980</v>
      </c>
      <c r="B31" s="6">
        <v>1662.6</v>
      </c>
      <c r="C31" s="7">
        <f t="shared" si="0"/>
        <v>4.2251755265797303E-2</v>
      </c>
      <c r="D31" s="7">
        <f t="shared" si="1"/>
        <v>4.1383521889413737E-2</v>
      </c>
      <c r="E31" s="7">
        <v>26052.65</v>
      </c>
      <c r="F31" s="7">
        <f t="shared" si="2"/>
        <v>5.503655917298584E-3</v>
      </c>
    </row>
    <row r="32" spans="1:6" x14ac:dyDescent="0.3">
      <c r="A32" s="5">
        <v>45979</v>
      </c>
      <c r="B32" s="6">
        <v>1595.2</v>
      </c>
      <c r="C32" s="7">
        <f t="shared" si="0"/>
        <v>-6.9721115537848882E-3</v>
      </c>
      <c r="D32" s="7">
        <f t="shared" si="1"/>
        <v>-6.9965302898361689E-3</v>
      </c>
      <c r="E32" s="7">
        <v>25910.05</v>
      </c>
      <c r="F32" s="7">
        <f t="shared" si="2"/>
        <v>-3.9748668477269048E-3</v>
      </c>
    </row>
    <row r="33" spans="1:6" x14ac:dyDescent="0.3">
      <c r="A33" s="5">
        <v>45978</v>
      </c>
      <c r="B33" s="6">
        <v>1606.4</v>
      </c>
      <c r="C33" s="7">
        <f t="shared" si="0"/>
        <v>7.3999749153393843E-3</v>
      </c>
      <c r="D33" s="7">
        <f t="shared" si="1"/>
        <v>7.3727294290149986E-3</v>
      </c>
      <c r="E33" s="7">
        <v>26013.45</v>
      </c>
      <c r="F33" s="7">
        <f t="shared" si="2"/>
        <v>3.9907294659794739E-3</v>
      </c>
    </row>
    <row r="34" spans="1:6" x14ac:dyDescent="0.3">
      <c r="A34" s="5">
        <v>45975</v>
      </c>
      <c r="B34" s="6">
        <v>1594.6</v>
      </c>
      <c r="C34" s="7">
        <f t="shared" si="0"/>
        <v>-2.4397873005943642E-3</v>
      </c>
      <c r="D34" s="7">
        <f t="shared" si="1"/>
        <v>-2.4427684315011149E-3</v>
      </c>
      <c r="E34" s="7">
        <v>25910.05</v>
      </c>
      <c r="F34" s="7">
        <f t="shared" si="2"/>
        <v>1.194011395273717E-3</v>
      </c>
    </row>
    <row r="35" spans="1:6" x14ac:dyDescent="0.3">
      <c r="A35" s="5">
        <v>45974</v>
      </c>
      <c r="B35" s="6">
        <v>1598.5</v>
      </c>
      <c r="C35" s="7">
        <f t="shared" si="0"/>
        <v>2.8230865746549563E-3</v>
      </c>
      <c r="D35" s="7">
        <f t="shared" si="1"/>
        <v>2.8191091497358541E-3</v>
      </c>
      <c r="E35" s="7">
        <v>25879.15</v>
      </c>
      <c r="F35" s="7">
        <f t="shared" si="2"/>
        <v>1.2946459626377477E-4</v>
      </c>
    </row>
    <row r="36" spans="1:6" x14ac:dyDescent="0.3">
      <c r="A36" s="5">
        <v>45973</v>
      </c>
      <c r="B36" s="6">
        <v>1594</v>
      </c>
      <c r="C36" s="7">
        <f t="shared" si="0"/>
        <v>1.5286624203821656E-2</v>
      </c>
      <c r="D36" s="7">
        <f t="shared" si="1"/>
        <v>1.5170961007806604E-2</v>
      </c>
      <c r="E36" s="7">
        <v>25875.8</v>
      </c>
      <c r="F36" s="7">
        <f t="shared" si="2"/>
        <v>7.0383480022338449E-3</v>
      </c>
    </row>
    <row r="37" spans="1:6" x14ac:dyDescent="0.3">
      <c r="A37" s="5">
        <v>45972</v>
      </c>
      <c r="B37" s="6">
        <v>1570</v>
      </c>
      <c r="C37" s="7">
        <f t="shared" si="0"/>
        <v>1.9149626744563452E-2</v>
      </c>
      <c r="D37" s="7">
        <f t="shared" si="1"/>
        <v>1.8968580305631116E-2</v>
      </c>
      <c r="E37" s="7">
        <v>25694.95</v>
      </c>
      <c r="F37" s="7">
        <f t="shared" si="2"/>
        <v>4.7156623726508076E-3</v>
      </c>
    </row>
    <row r="38" spans="1:6" x14ac:dyDescent="0.3">
      <c r="A38" s="5">
        <v>45971</v>
      </c>
      <c r="B38" s="6">
        <v>1540.5</v>
      </c>
      <c r="C38" s="7">
        <f t="shared" si="0"/>
        <v>1.8579740809309644E-2</v>
      </c>
      <c r="D38" s="7">
        <f t="shared" si="1"/>
        <v>1.8409246019944692E-2</v>
      </c>
      <c r="E38" s="7">
        <v>25574.35</v>
      </c>
      <c r="F38" s="7">
        <f t="shared" si="2"/>
        <v>3.2186189555277189E-3</v>
      </c>
    </row>
    <row r="39" spans="1:6" x14ac:dyDescent="0.3">
      <c r="A39" s="5">
        <v>45968</v>
      </c>
      <c r="B39" s="6">
        <v>1512.4</v>
      </c>
      <c r="C39" s="7">
        <f t="shared" si="0"/>
        <v>-9.1719077568134175E-3</v>
      </c>
      <c r="D39" s="7">
        <f t="shared" si="1"/>
        <v>-9.2142286772442968E-3</v>
      </c>
      <c r="E39" s="7">
        <v>25492.3</v>
      </c>
      <c r="F39" s="7">
        <f t="shared" si="2"/>
        <v>-6.8209347816718558E-4</v>
      </c>
    </row>
    <row r="40" spans="1:6" x14ac:dyDescent="0.3">
      <c r="A40" s="5">
        <v>45967</v>
      </c>
      <c r="B40" s="6">
        <v>1526.4</v>
      </c>
      <c r="C40" s="7">
        <f t="shared" si="0"/>
        <v>-1.7657445556208346E-3</v>
      </c>
      <c r="D40" s="7">
        <f t="shared" si="1"/>
        <v>-1.7673053200835294E-3</v>
      </c>
      <c r="E40" s="7">
        <v>25509.7</v>
      </c>
      <c r="F40" s="7">
        <f t="shared" si="2"/>
        <v>-3.4358622764199338E-3</v>
      </c>
    </row>
    <row r="41" spans="1:6" x14ac:dyDescent="0.3">
      <c r="A41" s="5">
        <v>45965</v>
      </c>
      <c r="B41" s="6">
        <v>1529.1</v>
      </c>
      <c r="C41" s="7">
        <f t="shared" si="0"/>
        <v>-9.3294460641400005E-3</v>
      </c>
      <c r="D41" s="7">
        <f t="shared" si="1"/>
        <v>-9.3732379281083154E-3</v>
      </c>
      <c r="E41" s="7">
        <v>25597.65</v>
      </c>
      <c r="F41" s="7">
        <f t="shared" si="2"/>
        <v>-6.4316170063286448E-3</v>
      </c>
    </row>
    <row r="42" spans="1:6" x14ac:dyDescent="0.3">
      <c r="A42" s="5">
        <v>45964</v>
      </c>
      <c r="B42" s="6">
        <v>1543.5</v>
      </c>
      <c r="C42" s="7">
        <f t="shared" si="0"/>
        <v>1.2974375608173856E-3</v>
      </c>
      <c r="D42" s="7">
        <f t="shared" si="1"/>
        <v>1.2965966160090145E-3</v>
      </c>
      <c r="E42" s="7">
        <v>25763.35</v>
      </c>
      <c r="F42" s="7">
        <f t="shared" si="2"/>
        <v>1.6036793263380518E-3</v>
      </c>
    </row>
    <row r="43" spans="1:6" x14ac:dyDescent="0.3">
      <c r="A43" s="5">
        <v>45961</v>
      </c>
      <c r="B43" s="6">
        <v>1541.5</v>
      </c>
      <c r="C43" s="7">
        <f t="shared" si="0"/>
        <v>-5.3555297457736194E-3</v>
      </c>
      <c r="D43" s="7">
        <f t="shared" si="1"/>
        <v>-5.3699220036446905E-3</v>
      </c>
      <c r="E43" s="7">
        <v>25722.1</v>
      </c>
      <c r="F43" s="7">
        <f t="shared" si="2"/>
        <v>-6.0186607465457917E-3</v>
      </c>
    </row>
    <row r="44" spans="1:6" x14ac:dyDescent="0.3">
      <c r="A44" s="5">
        <v>45960</v>
      </c>
      <c r="B44" s="6">
        <v>1549.8</v>
      </c>
      <c r="C44" s="7">
        <f t="shared" si="0"/>
        <v>-4.8160277403197843E-3</v>
      </c>
      <c r="D44" s="7">
        <f t="shared" si="1"/>
        <v>-4.8276621714431886E-3</v>
      </c>
      <c r="E44" s="7">
        <v>25877.85</v>
      </c>
      <c r="F44" s="7">
        <f t="shared" si="2"/>
        <v>-6.7571457632063878E-3</v>
      </c>
    </row>
    <row r="45" spans="1:6" x14ac:dyDescent="0.3">
      <c r="A45" s="5">
        <v>45959</v>
      </c>
      <c r="B45" s="6">
        <v>1557.3</v>
      </c>
      <c r="C45" s="7">
        <f t="shared" si="0"/>
        <v>2.312594441889498E-2</v>
      </c>
      <c r="D45" s="7">
        <f t="shared" si="1"/>
        <v>2.286259221567187E-2</v>
      </c>
      <c r="E45" s="7">
        <v>26053.9</v>
      </c>
      <c r="F45" s="7">
        <f t="shared" si="2"/>
        <v>4.5380587749940518E-3</v>
      </c>
    </row>
    <row r="46" spans="1:6" x14ac:dyDescent="0.3">
      <c r="A46" s="5">
        <v>45958</v>
      </c>
      <c r="B46" s="6">
        <v>1522.1</v>
      </c>
      <c r="C46" s="7">
        <f t="shared" si="0"/>
        <v>-7.4339745679818008E-3</v>
      </c>
      <c r="D46" s="7">
        <f t="shared" si="1"/>
        <v>-7.4617442686851256E-3</v>
      </c>
      <c r="E46" s="7">
        <v>25936.2</v>
      </c>
      <c r="F46" s="7">
        <f t="shared" si="2"/>
        <v>-1.1495780066663411E-3</v>
      </c>
    </row>
    <row r="47" spans="1:6" x14ac:dyDescent="0.3">
      <c r="A47" s="5">
        <v>45957</v>
      </c>
      <c r="B47" s="6">
        <v>1533.5</v>
      </c>
      <c r="C47" s="7">
        <f t="shared" si="0"/>
        <v>6.365664785404939E-3</v>
      </c>
      <c r="D47" s="7">
        <f t="shared" si="1"/>
        <v>6.3454895153969458E-3</v>
      </c>
      <c r="E47" s="7">
        <v>25966.05</v>
      </c>
      <c r="F47" s="7">
        <f t="shared" si="2"/>
        <v>6.6252764570083065E-3</v>
      </c>
    </row>
    <row r="48" spans="1:6" x14ac:dyDescent="0.3">
      <c r="A48" s="5">
        <v>45954</v>
      </c>
      <c r="B48" s="6">
        <v>1523.8</v>
      </c>
      <c r="C48" s="7">
        <f t="shared" si="0"/>
        <v>-6.5621103747054541E-5</v>
      </c>
      <c r="D48" s="7">
        <f t="shared" si="1"/>
        <v>-6.5623256905906303E-5</v>
      </c>
      <c r="E48" s="7">
        <v>25795.15</v>
      </c>
      <c r="F48" s="7">
        <f t="shared" si="2"/>
        <v>-3.7174505820465479E-3</v>
      </c>
    </row>
    <row r="49" spans="1:6" x14ac:dyDescent="0.3">
      <c r="A49" s="5">
        <v>45953</v>
      </c>
      <c r="B49" s="6">
        <v>1523.9</v>
      </c>
      <c r="C49" s="7">
        <f t="shared" si="0"/>
        <v>2.5504710632570721E-2</v>
      </c>
      <c r="D49" s="7">
        <f t="shared" si="1"/>
        <v>2.5184892018110683E-2</v>
      </c>
      <c r="E49" s="7">
        <v>25891.4</v>
      </c>
      <c r="F49" s="7">
        <f t="shared" si="2"/>
        <v>8.8137742282160274E-4</v>
      </c>
    </row>
    <row r="50" spans="1:6" x14ac:dyDescent="0.3">
      <c r="A50" s="5">
        <v>45951</v>
      </c>
      <c r="B50" s="6">
        <v>1486</v>
      </c>
      <c r="C50" s="7">
        <f t="shared" si="0"/>
        <v>-6.2859435602514984E-3</v>
      </c>
      <c r="D50" s="7">
        <f t="shared" si="1"/>
        <v>-6.3057832881107286E-3</v>
      </c>
      <c r="E50" s="7">
        <v>25868.6</v>
      </c>
      <c r="F50" s="7">
        <f t="shared" si="2"/>
        <v>9.8478707123539843E-4</v>
      </c>
    </row>
    <row r="51" spans="1:6" x14ac:dyDescent="0.3">
      <c r="A51" s="5">
        <v>45950</v>
      </c>
      <c r="B51" s="6">
        <v>1495.4</v>
      </c>
      <c r="C51" s="7">
        <f t="shared" si="0"/>
        <v>6.1902839456331885E-3</v>
      </c>
      <c r="D51" s="7">
        <f t="shared" si="1"/>
        <v>6.1712028424462818E-3</v>
      </c>
      <c r="E51" s="7">
        <v>25843.15</v>
      </c>
      <c r="F51" s="7">
        <f t="shared" si="2"/>
        <v>5.1847832640020425E-3</v>
      </c>
    </row>
    <row r="52" spans="1:6" x14ac:dyDescent="0.3">
      <c r="A52" s="5">
        <v>45947</v>
      </c>
      <c r="B52" s="6">
        <v>1486.2</v>
      </c>
      <c r="C52" s="7">
        <f t="shared" si="0"/>
        <v>-1.9009900990098978E-2</v>
      </c>
      <c r="D52" s="7">
        <f t="shared" si="1"/>
        <v>-1.9192912220100659E-2</v>
      </c>
      <c r="E52" s="7">
        <v>25709.85</v>
      </c>
      <c r="F52" s="7">
        <f t="shared" si="2"/>
        <v>4.8680296889229077E-3</v>
      </c>
    </row>
    <row r="53" spans="1:6" x14ac:dyDescent="0.3">
      <c r="A53" s="5">
        <v>45946</v>
      </c>
      <c r="B53" s="6">
        <v>1515</v>
      </c>
      <c r="C53" s="7">
        <f t="shared" si="0"/>
        <v>1.2903657150498064E-2</v>
      </c>
      <c r="D53" s="7">
        <f t="shared" si="1"/>
        <v>1.2821114278188659E-2</v>
      </c>
      <c r="E53" s="7">
        <v>25585.3</v>
      </c>
      <c r="F53" s="7">
        <f t="shared" si="2"/>
        <v>1.033622853036008E-2</v>
      </c>
    </row>
    <row r="54" spans="1:6" x14ac:dyDescent="0.3">
      <c r="A54" s="5">
        <v>45945</v>
      </c>
      <c r="B54" s="6">
        <v>1495.7</v>
      </c>
      <c r="C54" s="7">
        <f t="shared" si="0"/>
        <v>2.0061522000799418E-4</v>
      </c>
      <c r="D54" s="7">
        <f t="shared" si="1"/>
        <v>2.0059509946572382E-4</v>
      </c>
      <c r="E54" s="7">
        <v>25323.55</v>
      </c>
      <c r="F54" s="7">
        <f t="shared" si="2"/>
        <v>7.080789803344506E-3</v>
      </c>
    </row>
    <row r="55" spans="1:6" x14ac:dyDescent="0.3">
      <c r="A55" s="5">
        <v>45944</v>
      </c>
      <c r="B55" s="6">
        <v>1495.4</v>
      </c>
      <c r="C55" s="7">
        <f t="shared" si="0"/>
        <v>4.6832140228811499E-4</v>
      </c>
      <c r="D55" s="7">
        <f t="shared" si="1"/>
        <v>4.6821177404627527E-4</v>
      </c>
      <c r="E55" s="7">
        <v>25145.5</v>
      </c>
      <c r="F55" s="7">
        <f t="shared" si="2"/>
        <v>-3.2444945664129822E-3</v>
      </c>
    </row>
    <row r="56" spans="1:6" x14ac:dyDescent="0.3">
      <c r="A56" s="5">
        <v>45943</v>
      </c>
      <c r="B56" s="6">
        <v>1494.7</v>
      </c>
      <c r="C56" s="7">
        <f t="shared" si="0"/>
        <v>-5.3493814777663294E-4</v>
      </c>
      <c r="D56" s="7">
        <f t="shared" si="1"/>
        <v>-5.3508127823381963E-4</v>
      </c>
      <c r="E56" s="7">
        <v>25227.35</v>
      </c>
      <c r="F56" s="7">
        <f t="shared" si="2"/>
        <v>-2.2938183572701189E-3</v>
      </c>
    </row>
    <row r="57" spans="1:6" x14ac:dyDescent="0.3">
      <c r="A57" s="5">
        <v>45940</v>
      </c>
      <c r="B57" s="6">
        <v>1495.5</v>
      </c>
      <c r="C57" s="7">
        <f t="shared" si="0"/>
        <v>6.0544904137235112E-3</v>
      </c>
      <c r="D57" s="7">
        <f t="shared" si="1"/>
        <v>6.0362356318502414E-3</v>
      </c>
      <c r="E57" s="7">
        <v>25285.35</v>
      </c>
      <c r="F57" s="7">
        <f t="shared" si="2"/>
        <v>4.1120968318388391E-3</v>
      </c>
    </row>
    <row r="58" spans="1:6" x14ac:dyDescent="0.3">
      <c r="A58" s="5">
        <v>45939</v>
      </c>
      <c r="B58" s="6">
        <v>1486.5</v>
      </c>
      <c r="C58" s="7">
        <f t="shared" si="0"/>
        <v>2.2914946325350918E-2</v>
      </c>
      <c r="D58" s="7">
        <f t="shared" si="1"/>
        <v>2.2656342091105394E-2</v>
      </c>
      <c r="E58" s="7">
        <v>25181.8</v>
      </c>
      <c r="F58" s="7">
        <f t="shared" si="2"/>
        <v>5.416002060196789E-3</v>
      </c>
    </row>
    <row r="59" spans="1:6" x14ac:dyDescent="0.3">
      <c r="A59" s="5">
        <v>45938</v>
      </c>
      <c r="B59" s="6">
        <v>1453.2</v>
      </c>
      <c r="C59" s="7">
        <f t="shared" si="0"/>
        <v>1.3813311008790257E-2</v>
      </c>
      <c r="D59" s="7">
        <f t="shared" si="1"/>
        <v>1.371877678722809E-2</v>
      </c>
      <c r="E59" s="7">
        <v>25046.15</v>
      </c>
      <c r="F59" s="7">
        <f t="shared" si="2"/>
        <v>-2.4752770996044264E-3</v>
      </c>
    </row>
    <row r="60" spans="1:6" x14ac:dyDescent="0.3">
      <c r="A60" s="5">
        <v>45937</v>
      </c>
      <c r="B60" s="6">
        <v>1433.4</v>
      </c>
      <c r="C60" s="7">
        <f t="shared" si="0"/>
        <v>1.1074275234534841E-2</v>
      </c>
      <c r="D60" s="7">
        <f t="shared" si="1"/>
        <v>1.101340443623294E-2</v>
      </c>
      <c r="E60" s="7">
        <v>25108.3</v>
      </c>
      <c r="F60" s="7">
        <f t="shared" si="2"/>
        <v>1.2222038348887482E-3</v>
      </c>
    </row>
    <row r="61" spans="1:6" x14ac:dyDescent="0.3">
      <c r="A61" s="5">
        <v>45936</v>
      </c>
      <c r="B61" s="6">
        <v>1417.7</v>
      </c>
      <c r="C61" s="7">
        <f t="shared" si="0"/>
        <v>1.736634373878726E-2</v>
      </c>
      <c r="D61" s="7">
        <f t="shared" si="1"/>
        <v>1.7217272201582926E-2</v>
      </c>
      <c r="E61" s="7">
        <v>25077.65</v>
      </c>
      <c r="F61" s="7">
        <f t="shared" si="2"/>
        <v>7.3671630999126887E-3</v>
      </c>
    </row>
    <row r="62" spans="1:6" x14ac:dyDescent="0.3">
      <c r="A62" s="5">
        <v>45933</v>
      </c>
      <c r="B62" s="6">
        <v>1393.5</v>
      </c>
      <c r="C62" s="7">
        <f t="shared" si="0"/>
        <v>2.8787333573227778E-3</v>
      </c>
      <c r="D62" s="7">
        <f t="shared" si="1"/>
        <v>2.8745977394445169E-3</v>
      </c>
      <c r="E62" s="7">
        <v>24894.25</v>
      </c>
      <c r="F62" s="7">
        <f t="shared" si="2"/>
        <v>2.333278306350009E-3</v>
      </c>
    </row>
    <row r="63" spans="1:6" x14ac:dyDescent="0.3">
      <c r="A63" s="5">
        <v>45931</v>
      </c>
      <c r="B63" s="6">
        <v>1389.5</v>
      </c>
      <c r="C63" s="7">
        <f t="shared" si="0"/>
        <v>3.1766659446971998E-3</v>
      </c>
      <c r="D63" s="7">
        <f t="shared" si="1"/>
        <v>3.1716310015055824E-3</v>
      </c>
      <c r="E63" s="7">
        <v>24836.3</v>
      </c>
      <c r="F63" s="7">
        <f t="shared" si="2"/>
        <v>9.1503427315317368E-3</v>
      </c>
    </row>
    <row r="64" spans="1:6" x14ac:dyDescent="0.3">
      <c r="A64" s="5">
        <v>45930</v>
      </c>
      <c r="B64" s="6">
        <v>1385.1</v>
      </c>
      <c r="C64" s="7">
        <f t="shared" si="0"/>
        <v>-1.6577771370910924E-3</v>
      </c>
      <c r="D64" s="7">
        <f t="shared" si="1"/>
        <v>-1.659152770148178E-3</v>
      </c>
      <c r="E64" s="7">
        <v>24611.1</v>
      </c>
      <c r="F64" s="7">
        <f t="shared" si="2"/>
        <v>-9.6610905666363205E-4</v>
      </c>
    </row>
    <row r="65" spans="1:6" x14ac:dyDescent="0.3">
      <c r="A65" s="5">
        <v>45929</v>
      </c>
      <c r="B65" s="6">
        <v>1387.4</v>
      </c>
      <c r="C65" s="7">
        <f t="shared" si="0"/>
        <v>-5.661864831935687E-3</v>
      </c>
      <c r="D65" s="7">
        <f t="shared" si="1"/>
        <v>-5.6779539469599639E-3</v>
      </c>
      <c r="E65" s="7">
        <v>24634.9</v>
      </c>
      <c r="F65" s="7">
        <f t="shared" si="2"/>
        <v>-8.0309231099949595E-4</v>
      </c>
    </row>
    <row r="66" spans="1:6" x14ac:dyDescent="0.3">
      <c r="A66" s="5">
        <v>45926</v>
      </c>
      <c r="B66" s="6">
        <v>1395.3</v>
      </c>
      <c r="C66" s="7">
        <f t="shared" si="0"/>
        <v>-2.001685630004214E-2</v>
      </c>
      <c r="D66" s="7">
        <f t="shared" si="1"/>
        <v>-2.021990777161185E-2</v>
      </c>
      <c r="E66" s="7">
        <v>24654.7</v>
      </c>
      <c r="F66" s="7">
        <f t="shared" si="2"/>
        <v>-9.487422084822247E-3</v>
      </c>
    </row>
    <row r="67" spans="1:6" x14ac:dyDescent="0.3">
      <c r="A67" s="5">
        <v>45925</v>
      </c>
      <c r="B67" s="6">
        <v>1423.8</v>
      </c>
      <c r="C67" s="7">
        <f t="shared" ref="C67:C126" si="3">(B67-B68)/ B68</f>
        <v>-1.2826735075920406E-2</v>
      </c>
      <c r="D67" s="7">
        <f t="shared" ref="D67:D126" si="4">LN(B67/B68)</f>
        <v>-1.2909707919691604E-2</v>
      </c>
      <c r="E67" s="7">
        <v>24890.85</v>
      </c>
      <c r="F67" s="7">
        <f t="shared" ref="F67:F127" si="5">(E67-E68)/E68</f>
        <v>-6.6269171365972209E-3</v>
      </c>
    </row>
    <row r="68" spans="1:6" x14ac:dyDescent="0.3">
      <c r="A68" s="5">
        <v>45924</v>
      </c>
      <c r="B68" s="6">
        <v>1442.3</v>
      </c>
      <c r="C68" s="7">
        <f t="shared" si="3"/>
        <v>8.7424814659392922E-3</v>
      </c>
      <c r="D68" s="7">
        <f t="shared" si="4"/>
        <v>8.7044872567131667E-3</v>
      </c>
      <c r="E68" s="7">
        <v>25056.9</v>
      </c>
      <c r="F68" s="7">
        <f t="shared" si="5"/>
        <v>-4.4736685273842761E-3</v>
      </c>
    </row>
    <row r="69" spans="1:6" x14ac:dyDescent="0.3">
      <c r="A69" s="5">
        <v>45923</v>
      </c>
      <c r="B69" s="6">
        <v>1429.8</v>
      </c>
      <c r="C69" s="7">
        <f t="shared" si="3"/>
        <v>-7.0143759983333116E-3</v>
      </c>
      <c r="D69" s="7">
        <f t="shared" si="4"/>
        <v>-7.0390923814734547E-3</v>
      </c>
      <c r="E69" s="7">
        <v>25169.5</v>
      </c>
      <c r="F69" s="7">
        <f t="shared" si="5"/>
        <v>-1.3034498766979488E-3</v>
      </c>
    </row>
    <row r="70" spans="1:6" x14ac:dyDescent="0.3">
      <c r="A70" s="5">
        <v>45922</v>
      </c>
      <c r="B70" s="6">
        <v>1439.9</v>
      </c>
      <c r="C70" s="7">
        <f t="shared" si="3"/>
        <v>-1.8740629685157419E-2</v>
      </c>
      <c r="D70" s="7">
        <f t="shared" si="4"/>
        <v>-1.8918460565669117E-2</v>
      </c>
      <c r="E70" s="7">
        <v>25202.35</v>
      </c>
      <c r="F70" s="7">
        <f t="shared" si="5"/>
        <v>-4.9235896008418163E-3</v>
      </c>
    </row>
    <row r="71" spans="1:6" x14ac:dyDescent="0.3">
      <c r="A71" s="5">
        <v>45919</v>
      </c>
      <c r="B71" s="6">
        <v>1467.4</v>
      </c>
      <c r="C71" s="7">
        <f t="shared" si="3"/>
        <v>-1.7673048600883562E-2</v>
      </c>
      <c r="D71" s="7">
        <f t="shared" si="4"/>
        <v>-1.7831081643072344E-2</v>
      </c>
      <c r="E71" s="7">
        <v>25327.05</v>
      </c>
      <c r="F71" s="7">
        <f t="shared" si="5"/>
        <v>-3.7976525747730173E-3</v>
      </c>
    </row>
    <row r="72" spans="1:6" x14ac:dyDescent="0.3">
      <c r="A72" s="5">
        <v>45918</v>
      </c>
      <c r="B72" s="6">
        <v>1493.8</v>
      </c>
      <c r="C72" s="7">
        <f t="shared" si="3"/>
        <v>8.3023962200472184E-3</v>
      </c>
      <c r="D72" s="7">
        <f t="shared" si="4"/>
        <v>8.2681209093463642E-3</v>
      </c>
      <c r="E72" s="7">
        <v>25423.599999999999</v>
      </c>
      <c r="F72" s="7">
        <f t="shared" si="5"/>
        <v>3.6853169629197718E-3</v>
      </c>
    </row>
    <row r="73" spans="1:6" x14ac:dyDescent="0.3">
      <c r="A73" s="5">
        <v>45917</v>
      </c>
      <c r="B73" s="6">
        <v>1481.5</v>
      </c>
      <c r="C73" s="7">
        <f t="shared" si="3"/>
        <v>-1.0788213876339486E-3</v>
      </c>
      <c r="D73" s="7">
        <f t="shared" si="4"/>
        <v>-1.0794037342968395E-3</v>
      </c>
      <c r="E73" s="7">
        <v>25330.25</v>
      </c>
      <c r="F73" s="7">
        <f t="shared" si="5"/>
        <v>3.6114599965926465E-3</v>
      </c>
    </row>
    <row r="74" spans="1:6" x14ac:dyDescent="0.3">
      <c r="A74" s="5">
        <v>45916</v>
      </c>
      <c r="B74" s="6">
        <v>1483.1</v>
      </c>
      <c r="C74" s="7">
        <f t="shared" si="3"/>
        <v>1.1319468121377367E-2</v>
      </c>
      <c r="D74" s="7">
        <f t="shared" si="4"/>
        <v>1.125588233041099E-2</v>
      </c>
      <c r="E74" s="7">
        <v>25239.1</v>
      </c>
      <c r="F74" s="7">
        <f t="shared" si="5"/>
        <v>6.7772405980245807E-3</v>
      </c>
    </row>
    <row r="75" spans="1:6" x14ac:dyDescent="0.3">
      <c r="A75" s="5">
        <v>45915</v>
      </c>
      <c r="B75" s="6">
        <v>1466.5</v>
      </c>
      <c r="C75" s="7">
        <f t="shared" si="3"/>
        <v>-4.7709923664125236E-4</v>
      </c>
      <c r="D75" s="7">
        <f t="shared" si="4"/>
        <v>-4.7721308469475337E-4</v>
      </c>
      <c r="E75" s="7">
        <v>25069.200000000001</v>
      </c>
      <c r="F75" s="7">
        <f t="shared" si="5"/>
        <v>-1.7838655729871494E-3</v>
      </c>
    </row>
    <row r="76" spans="1:6" x14ac:dyDescent="0.3">
      <c r="A76" s="5">
        <v>45912</v>
      </c>
      <c r="B76" s="6">
        <v>1467.2</v>
      </c>
      <c r="C76" s="7">
        <f t="shared" si="3"/>
        <v>-3.4066907406145672E-4</v>
      </c>
      <c r="D76" s="7">
        <f t="shared" si="4"/>
        <v>-3.4072711495270451E-4</v>
      </c>
      <c r="E76" s="7">
        <v>25114</v>
      </c>
      <c r="F76" s="7">
        <f t="shared" si="5"/>
        <v>4.3390454100097975E-3</v>
      </c>
    </row>
    <row r="77" spans="1:6" x14ac:dyDescent="0.3">
      <c r="A77" s="5">
        <v>45911</v>
      </c>
      <c r="B77" s="6">
        <v>1467.7</v>
      </c>
      <c r="C77" s="7">
        <f t="shared" si="3"/>
        <v>2.5958057244346981E-3</v>
      </c>
      <c r="D77" s="7">
        <f t="shared" si="4"/>
        <v>2.5924424397868657E-3</v>
      </c>
      <c r="E77" s="7">
        <v>25005.5</v>
      </c>
      <c r="F77" s="7">
        <f t="shared" si="5"/>
        <v>1.2973959980940074E-3</v>
      </c>
    </row>
    <row r="78" spans="1:6" x14ac:dyDescent="0.3">
      <c r="A78" s="5">
        <v>45910</v>
      </c>
      <c r="B78" s="6">
        <v>1463.9</v>
      </c>
      <c r="C78" s="7">
        <f t="shared" si="3"/>
        <v>2.5786560156961801E-2</v>
      </c>
      <c r="D78" s="7">
        <f t="shared" si="4"/>
        <v>2.5459694071020732E-2</v>
      </c>
      <c r="E78" s="7">
        <v>24973.1</v>
      </c>
      <c r="F78" s="7">
        <f t="shared" si="5"/>
        <v>4.202086164882623E-3</v>
      </c>
    </row>
    <row r="79" spans="1:6" x14ac:dyDescent="0.3">
      <c r="A79" s="5">
        <v>45909</v>
      </c>
      <c r="B79" s="6">
        <v>1427.1</v>
      </c>
      <c r="C79" s="7">
        <f t="shared" si="3"/>
        <v>1.7177476835352749E-2</v>
      </c>
      <c r="D79" s="7">
        <f t="shared" si="4"/>
        <v>1.7031612003884491E-2</v>
      </c>
      <c r="E79" s="7">
        <v>24868.6</v>
      </c>
      <c r="F79" s="7">
        <f t="shared" si="5"/>
        <v>3.8529617751475722E-3</v>
      </c>
    </row>
    <row r="80" spans="1:6" x14ac:dyDescent="0.3">
      <c r="A80" s="5">
        <v>45908</v>
      </c>
      <c r="B80" s="6">
        <v>1403</v>
      </c>
      <c r="C80" s="7">
        <f t="shared" si="3"/>
        <v>-1.127554615926709E-2</v>
      </c>
      <c r="D80" s="7">
        <f t="shared" si="4"/>
        <v>-1.1339597057581698E-2</v>
      </c>
      <c r="E80" s="7">
        <v>24773.15</v>
      </c>
      <c r="F80" s="7">
        <f t="shared" si="5"/>
        <v>1.2994624307829698E-3</v>
      </c>
    </row>
    <row r="81" spans="1:6" x14ac:dyDescent="0.3">
      <c r="A81" s="5">
        <v>45905</v>
      </c>
      <c r="B81" s="6">
        <v>1419</v>
      </c>
      <c r="C81" s="7">
        <f t="shared" si="3"/>
        <v>-1.6836416545416722E-2</v>
      </c>
      <c r="D81" s="7">
        <f t="shared" si="4"/>
        <v>-1.6979760213474977E-2</v>
      </c>
      <c r="E81" s="7">
        <v>24741</v>
      </c>
      <c r="F81" s="7">
        <f t="shared" si="5"/>
        <v>2.7087890095942588E-4</v>
      </c>
    </row>
    <row r="82" spans="1:6" x14ac:dyDescent="0.3">
      <c r="A82" s="5">
        <v>45904</v>
      </c>
      <c r="B82" s="6">
        <v>1443.3</v>
      </c>
      <c r="C82" s="7">
        <f t="shared" si="3"/>
        <v>-1.555146306527519E-2</v>
      </c>
      <c r="D82" s="7">
        <f t="shared" si="4"/>
        <v>-1.5673655570701113E-2</v>
      </c>
      <c r="E82" s="7">
        <v>24734.3</v>
      </c>
      <c r="F82" s="7">
        <f t="shared" si="5"/>
        <v>7.7887764742535419E-4</v>
      </c>
    </row>
    <row r="83" spans="1:6" x14ac:dyDescent="0.3">
      <c r="A83" s="5">
        <v>45903</v>
      </c>
      <c r="B83" s="6">
        <v>1466.1</v>
      </c>
      <c r="C83" s="7">
        <f t="shared" si="3"/>
        <v>2.7290714334438396E-4</v>
      </c>
      <c r="D83" s="7">
        <f t="shared" si="4"/>
        <v>2.7286991096388198E-4</v>
      </c>
      <c r="E83" s="7">
        <v>24715.05</v>
      </c>
      <c r="F83" s="7">
        <f t="shared" si="5"/>
        <v>5.5106673827076411E-3</v>
      </c>
    </row>
    <row r="84" spans="1:6" x14ac:dyDescent="0.3">
      <c r="A84" s="5">
        <v>45902</v>
      </c>
      <c r="B84" s="6">
        <v>1465.7</v>
      </c>
      <c r="C84" s="7">
        <f t="shared" si="3"/>
        <v>-1.8387360392263998E-3</v>
      </c>
      <c r="D84" s="7">
        <f t="shared" si="4"/>
        <v>-1.8404285894242497E-3</v>
      </c>
      <c r="E84" s="7">
        <v>24579.599999999999</v>
      </c>
      <c r="F84" s="7">
        <f t="shared" si="5"/>
        <v>-1.845681531611133E-3</v>
      </c>
    </row>
    <row r="85" spans="1:6" x14ac:dyDescent="0.3">
      <c r="A85" s="5">
        <v>45901</v>
      </c>
      <c r="B85" s="6">
        <v>1468.4</v>
      </c>
      <c r="C85" s="7">
        <f t="shared" si="3"/>
        <v>9.3483640362937419E-3</v>
      </c>
      <c r="D85" s="7">
        <f t="shared" si="4"/>
        <v>9.3049385098452966E-3</v>
      </c>
      <c r="E85" s="7">
        <v>24625.05</v>
      </c>
      <c r="F85" s="7">
        <f t="shared" si="5"/>
        <v>8.1140220699763062E-3</v>
      </c>
    </row>
    <row r="86" spans="1:6" x14ac:dyDescent="0.3">
      <c r="A86" s="5">
        <v>45898</v>
      </c>
      <c r="B86" s="6">
        <v>1454.8</v>
      </c>
      <c r="C86" s="7">
        <f t="shared" si="3"/>
        <v>3.4487515519381986E-3</v>
      </c>
      <c r="D86" s="7">
        <f t="shared" si="4"/>
        <v>3.4428182460565166E-3</v>
      </c>
      <c r="E86" s="7">
        <v>24426.85</v>
      </c>
      <c r="F86" s="7">
        <f t="shared" si="5"/>
        <v>-3.0223379549323866E-3</v>
      </c>
    </row>
    <row r="87" spans="1:6" x14ac:dyDescent="0.3">
      <c r="A87" s="5">
        <v>45897</v>
      </c>
      <c r="B87" s="6">
        <v>1449.8</v>
      </c>
      <c r="C87" s="7">
        <f t="shared" si="3"/>
        <v>-2.8804930332261523E-2</v>
      </c>
      <c r="D87" s="7">
        <f t="shared" si="4"/>
        <v>-2.922793522630197E-2</v>
      </c>
      <c r="E87" s="7">
        <v>24500.9</v>
      </c>
      <c r="F87" s="7">
        <f t="shared" si="5"/>
        <v>-8.5444145669824161E-3</v>
      </c>
    </row>
    <row r="88" spans="1:6" x14ac:dyDescent="0.3">
      <c r="A88" s="5">
        <v>45895</v>
      </c>
      <c r="B88" s="6">
        <v>1492.8</v>
      </c>
      <c r="C88" s="7">
        <f t="shared" si="3"/>
        <v>-7.5787794176306947E-3</v>
      </c>
      <c r="D88" s="7">
        <f t="shared" si="4"/>
        <v>-7.6076442992234388E-3</v>
      </c>
      <c r="E88" s="7">
        <v>24712.05</v>
      </c>
      <c r="F88" s="7">
        <f t="shared" si="5"/>
        <v>-1.0241211162399524E-2</v>
      </c>
    </row>
    <row r="89" spans="1:6" x14ac:dyDescent="0.3">
      <c r="A89" s="5">
        <v>45894</v>
      </c>
      <c r="B89" s="6">
        <v>1504.2</v>
      </c>
      <c r="C89" s="7">
        <f t="shared" si="3"/>
        <v>2.5847370933642564E-2</v>
      </c>
      <c r="D89" s="7">
        <f t="shared" si="4"/>
        <v>2.5518974409269316E-2</v>
      </c>
      <c r="E89" s="7">
        <v>24967.75</v>
      </c>
      <c r="F89" s="7">
        <f t="shared" si="5"/>
        <v>3.9264015826233692E-3</v>
      </c>
    </row>
    <row r="90" spans="1:6" x14ac:dyDescent="0.3">
      <c r="A90" s="5">
        <v>45891</v>
      </c>
      <c r="B90" s="6">
        <v>1466.3</v>
      </c>
      <c r="C90" s="7">
        <f t="shared" si="3"/>
        <v>-1.8212253096752624E-2</v>
      </c>
      <c r="D90" s="7">
        <f t="shared" si="4"/>
        <v>-1.8380137673131038E-2</v>
      </c>
      <c r="E90" s="7">
        <v>24870.1</v>
      </c>
      <c r="F90" s="7">
        <f t="shared" si="5"/>
        <v>-8.5174664872677119E-3</v>
      </c>
    </row>
    <row r="91" spans="1:6" x14ac:dyDescent="0.3">
      <c r="A91" s="5">
        <v>45890</v>
      </c>
      <c r="B91" s="6">
        <v>1493.5</v>
      </c>
      <c r="C91" s="7">
        <f t="shared" si="3"/>
        <v>-1.6711229946524064E-3</v>
      </c>
      <c r="D91" s="7">
        <f t="shared" si="4"/>
        <v>-1.6725208782580984E-3</v>
      </c>
      <c r="E91" s="7">
        <v>25083.75</v>
      </c>
      <c r="F91" s="7">
        <f t="shared" si="5"/>
        <v>1.3253202025504721E-3</v>
      </c>
    </row>
    <row r="92" spans="1:6" x14ac:dyDescent="0.3">
      <c r="A92" s="5">
        <v>45889</v>
      </c>
      <c r="B92" s="6">
        <v>1496</v>
      </c>
      <c r="C92" s="7">
        <f t="shared" si="3"/>
        <v>1.3481471445024113E-2</v>
      </c>
      <c r="D92" s="7">
        <f t="shared" si="4"/>
        <v>1.3391404991471621E-2</v>
      </c>
      <c r="E92" s="7">
        <v>25050.55</v>
      </c>
      <c r="F92" s="7">
        <f t="shared" si="5"/>
        <v>2.7981657803138756E-3</v>
      </c>
    </row>
    <row r="93" spans="1:6" x14ac:dyDescent="0.3">
      <c r="A93" s="5">
        <v>45888</v>
      </c>
      <c r="B93" s="6">
        <v>1476.1</v>
      </c>
      <c r="C93" s="7">
        <f t="shared" si="3"/>
        <v>-5.9932659932660547E-3</v>
      </c>
      <c r="D93" s="7">
        <f t="shared" si="4"/>
        <v>-6.0112976938490204E-3</v>
      </c>
      <c r="E93" s="7">
        <v>24980.65</v>
      </c>
      <c r="F93" s="7">
        <f t="shared" si="5"/>
        <v>4.1685174428537555E-3</v>
      </c>
    </row>
    <row r="94" spans="1:6" x14ac:dyDescent="0.3">
      <c r="A94" s="5">
        <v>45887</v>
      </c>
      <c r="B94" s="6">
        <v>1485</v>
      </c>
      <c r="C94" s="7">
        <f t="shared" si="3"/>
        <v>-3.2219089810712545E-3</v>
      </c>
      <c r="D94" s="7">
        <f t="shared" si="4"/>
        <v>-3.2271105053758675E-3</v>
      </c>
      <c r="E94" s="7">
        <v>24876.95</v>
      </c>
      <c r="F94" s="7">
        <f t="shared" si="5"/>
        <v>9.9730830285044425E-3</v>
      </c>
    </row>
    <row r="95" spans="1:6" x14ac:dyDescent="0.3">
      <c r="A95" s="5">
        <v>45883</v>
      </c>
      <c r="B95" s="6">
        <v>1489.8</v>
      </c>
      <c r="C95" s="7">
        <f t="shared" si="3"/>
        <v>-7.5278129371793723E-3</v>
      </c>
      <c r="D95" s="7">
        <f t="shared" si="4"/>
        <v>-7.5562899239544944E-3</v>
      </c>
      <c r="E95" s="7">
        <v>24631.3</v>
      </c>
      <c r="F95" s="7">
        <f t="shared" si="5"/>
        <v>4.8539055661504988E-4</v>
      </c>
    </row>
    <row r="96" spans="1:6" x14ac:dyDescent="0.3">
      <c r="A96" s="5">
        <v>45882</v>
      </c>
      <c r="B96" s="6">
        <v>1501.1</v>
      </c>
      <c r="C96" s="7">
        <f t="shared" si="3"/>
        <v>1.3341338136215063E-3</v>
      </c>
      <c r="D96" s="7">
        <f t="shared" si="4"/>
        <v>1.3332446478613483E-3</v>
      </c>
      <c r="E96" s="7">
        <v>24619.35</v>
      </c>
      <c r="F96" s="7">
        <f t="shared" si="5"/>
        <v>5.3884855068319663E-3</v>
      </c>
    </row>
    <row r="97" spans="1:6" x14ac:dyDescent="0.3">
      <c r="A97" s="5">
        <v>45881</v>
      </c>
      <c r="B97" s="6">
        <v>1499.1</v>
      </c>
      <c r="C97" s="7">
        <f t="shared" si="3"/>
        <v>7.459677419354778E-3</v>
      </c>
      <c r="D97" s="7">
        <f t="shared" si="4"/>
        <v>7.4319916252317212E-3</v>
      </c>
      <c r="E97" s="7">
        <v>24487.4</v>
      </c>
      <c r="F97" s="7">
        <f t="shared" si="5"/>
        <v>-3.9719260282162459E-3</v>
      </c>
    </row>
    <row r="98" spans="1:6" x14ac:dyDescent="0.3">
      <c r="A98" s="5">
        <v>45880</v>
      </c>
      <c r="B98" s="6">
        <v>1488</v>
      </c>
      <c r="C98" s="7">
        <f t="shared" si="3"/>
        <v>8.3350274446025302E-3</v>
      </c>
      <c r="D98" s="7">
        <f t="shared" si="4"/>
        <v>8.3004829236333674E-3</v>
      </c>
      <c r="E98" s="7">
        <v>24585.05</v>
      </c>
      <c r="F98" s="7">
        <f t="shared" si="5"/>
        <v>9.1018047637224844E-3</v>
      </c>
    </row>
    <row r="99" spans="1:6" x14ac:dyDescent="0.3">
      <c r="A99" s="5">
        <v>45877</v>
      </c>
      <c r="B99" s="6">
        <v>1475.7</v>
      </c>
      <c r="C99" s="7">
        <f t="shared" si="3"/>
        <v>1.3554727211117959E-4</v>
      </c>
      <c r="D99" s="7">
        <f t="shared" si="4"/>
        <v>1.3553808640974732E-4</v>
      </c>
      <c r="E99" s="7">
        <v>24363.3</v>
      </c>
      <c r="F99" s="7">
        <f t="shared" si="5"/>
        <v>-9.4669287673071669E-3</v>
      </c>
    </row>
    <row r="100" spans="1:6" x14ac:dyDescent="0.3">
      <c r="A100" s="5">
        <v>45876</v>
      </c>
      <c r="B100" s="6">
        <v>1475.5</v>
      </c>
      <c r="C100" s="7">
        <f t="shared" si="3"/>
        <v>8.406232914160712E-3</v>
      </c>
      <c r="D100" s="7">
        <f t="shared" si="4"/>
        <v>8.371097306338178E-3</v>
      </c>
      <c r="E100" s="7">
        <v>24596.15</v>
      </c>
      <c r="F100" s="7">
        <f t="shared" si="5"/>
        <v>8.9321320734757294E-4</v>
      </c>
    </row>
    <row r="101" spans="1:6" x14ac:dyDescent="0.3">
      <c r="A101" s="5">
        <v>45875</v>
      </c>
      <c r="B101" s="6">
        <v>1463.2</v>
      </c>
      <c r="C101" s="7">
        <f t="shared" si="3"/>
        <v>-1.3151682740945572E-2</v>
      </c>
      <c r="D101" s="7">
        <f t="shared" si="4"/>
        <v>-1.3238931947324471E-2</v>
      </c>
      <c r="E101" s="7">
        <v>24574.2</v>
      </c>
      <c r="F101" s="7">
        <f t="shared" si="5"/>
        <v>-3.0568509364267723E-3</v>
      </c>
    </row>
    <row r="102" spans="1:6" x14ac:dyDescent="0.3">
      <c r="A102" s="5">
        <v>45874</v>
      </c>
      <c r="B102" s="6">
        <v>1482.7</v>
      </c>
      <c r="C102" s="7">
        <f t="shared" si="3"/>
        <v>5.6294085729788074E-3</v>
      </c>
      <c r="D102" s="7">
        <f t="shared" si="4"/>
        <v>5.6136226683669282E-3</v>
      </c>
      <c r="E102" s="7">
        <v>24649.55</v>
      </c>
      <c r="F102" s="7">
        <f t="shared" si="5"/>
        <v>-2.9608356675531939E-3</v>
      </c>
    </row>
    <row r="103" spans="1:6" x14ac:dyDescent="0.3">
      <c r="A103" s="5">
        <v>45873</v>
      </c>
      <c r="B103" s="6">
        <v>1474.4</v>
      </c>
      <c r="C103" s="7">
        <f t="shared" si="3"/>
        <v>1.5357069072378061E-2</v>
      </c>
      <c r="D103" s="7">
        <f t="shared" si="4"/>
        <v>1.5240342818921932E-2</v>
      </c>
      <c r="E103" s="7">
        <v>24722.75</v>
      </c>
      <c r="F103" s="7">
        <f t="shared" si="5"/>
        <v>6.407399039704359E-3</v>
      </c>
    </row>
    <row r="104" spans="1:6" x14ac:dyDescent="0.3">
      <c r="A104" s="5">
        <v>45870</v>
      </c>
      <c r="B104" s="6">
        <v>1452.1</v>
      </c>
      <c r="C104" s="7">
        <f t="shared" si="3"/>
        <v>-1.0763675999727626E-2</v>
      </c>
      <c r="D104" s="7">
        <f t="shared" si="4"/>
        <v>-1.0822023426495915E-2</v>
      </c>
      <c r="E104" s="7">
        <v>24565.35</v>
      </c>
      <c r="F104" s="7">
        <f t="shared" si="5"/>
        <v>-8.1959436135229033E-3</v>
      </c>
    </row>
    <row r="105" spans="1:6" x14ac:dyDescent="0.3">
      <c r="A105" s="5">
        <v>45869</v>
      </c>
      <c r="B105" s="6">
        <v>1467.9</v>
      </c>
      <c r="C105" s="7">
        <f t="shared" si="3"/>
        <v>-5.8245851676260816E-3</v>
      </c>
      <c r="D105" s="7">
        <f t="shared" si="4"/>
        <v>-5.84161422078972E-3</v>
      </c>
      <c r="E105" s="7">
        <v>24768.35</v>
      </c>
      <c r="F105" s="7">
        <f t="shared" si="5"/>
        <v>-3.4882247269669838E-3</v>
      </c>
    </row>
    <row r="106" spans="1:6" x14ac:dyDescent="0.3">
      <c r="A106" s="5">
        <v>45868</v>
      </c>
      <c r="B106" s="6">
        <v>1476.5</v>
      </c>
      <c r="C106" s="7">
        <f t="shared" si="3"/>
        <v>2.784569410486219E-3</v>
      </c>
      <c r="D106" s="7">
        <f t="shared" si="4"/>
        <v>2.7806996791112305E-3</v>
      </c>
      <c r="E106" s="7">
        <v>24855.05</v>
      </c>
      <c r="F106" s="7">
        <f t="shared" si="5"/>
        <v>1.3677878901418845E-3</v>
      </c>
    </row>
    <row r="107" spans="1:6" x14ac:dyDescent="0.3">
      <c r="A107" s="5">
        <v>45867</v>
      </c>
      <c r="B107" s="6">
        <v>1472.4</v>
      </c>
      <c r="C107" s="7">
        <f t="shared" si="3"/>
        <v>4.2971147943524877E-3</v>
      </c>
      <c r="D107" s="7">
        <f t="shared" si="4"/>
        <v>4.2879085606473341E-3</v>
      </c>
      <c r="E107" s="7">
        <v>24821.1</v>
      </c>
      <c r="F107" s="7">
        <f t="shared" si="5"/>
        <v>5.6805059783069933E-3</v>
      </c>
    </row>
    <row r="108" spans="1:6" x14ac:dyDescent="0.3">
      <c r="A108" s="5">
        <v>45866</v>
      </c>
      <c r="B108" s="6">
        <v>1466.1</v>
      </c>
      <c r="C108" s="7">
        <f t="shared" si="3"/>
        <v>-1.6106301590497283E-2</v>
      </c>
      <c r="D108" s="7">
        <f t="shared" si="4"/>
        <v>-1.6237417837195713E-2</v>
      </c>
      <c r="E108" s="7">
        <v>24680.9</v>
      </c>
      <c r="F108" s="7">
        <f t="shared" si="5"/>
        <v>-6.2849780569311326E-3</v>
      </c>
    </row>
    <row r="109" spans="1:6" x14ac:dyDescent="0.3">
      <c r="A109" s="5">
        <v>45863</v>
      </c>
      <c r="B109" s="6">
        <v>1490.1</v>
      </c>
      <c r="C109" s="7">
        <f t="shared" si="3"/>
        <v>-1.1345541401273975E-2</v>
      </c>
      <c r="D109" s="7">
        <f t="shared" si="4"/>
        <v>-1.1410393040684186E-2</v>
      </c>
      <c r="E109" s="7">
        <v>24837</v>
      </c>
      <c r="F109" s="7">
        <f t="shared" si="5"/>
        <v>-8.9816894833233667E-3</v>
      </c>
    </row>
    <row r="110" spans="1:6" x14ac:dyDescent="0.3">
      <c r="A110" s="5">
        <v>45862</v>
      </c>
      <c r="B110" s="6">
        <v>1507.2</v>
      </c>
      <c r="C110" s="7">
        <f t="shared" si="3"/>
        <v>-1.4773172963786057E-2</v>
      </c>
      <c r="D110" s="7">
        <f t="shared" si="4"/>
        <v>-1.4883383065667036E-2</v>
      </c>
      <c r="E110" s="7">
        <v>25062.1</v>
      </c>
      <c r="F110" s="7">
        <f t="shared" si="5"/>
        <v>-6.2569637468825375E-3</v>
      </c>
    </row>
    <row r="111" spans="1:6" x14ac:dyDescent="0.3">
      <c r="A111" s="5">
        <v>45861</v>
      </c>
      <c r="B111" s="6">
        <v>1529.8</v>
      </c>
      <c r="C111" s="7">
        <f t="shared" si="3"/>
        <v>6.3811591342675129E-3</v>
      </c>
      <c r="D111" s="7">
        <f t="shared" si="4"/>
        <v>6.3608857377919137E-3</v>
      </c>
      <c r="E111" s="7">
        <v>25219.9</v>
      </c>
      <c r="F111" s="7">
        <f t="shared" si="5"/>
        <v>6.3445446891372608E-3</v>
      </c>
    </row>
    <row r="112" spans="1:6" x14ac:dyDescent="0.3">
      <c r="A112" s="5">
        <v>45860</v>
      </c>
      <c r="B112" s="6">
        <v>1520.1</v>
      </c>
      <c r="C112" s="7">
        <f t="shared" si="3"/>
        <v>-6.7302665969682313E-3</v>
      </c>
      <c r="D112" s="7">
        <f t="shared" si="4"/>
        <v>-6.7530169760694168E-3</v>
      </c>
      <c r="E112" s="7">
        <v>25060.9</v>
      </c>
      <c r="F112" s="7">
        <f t="shared" si="5"/>
        <v>-1.1876910568457346E-3</v>
      </c>
    </row>
    <row r="113" spans="1:6" x14ac:dyDescent="0.3">
      <c r="A113" s="5">
        <v>45859</v>
      </c>
      <c r="B113" s="6">
        <v>1530.4</v>
      </c>
      <c r="C113" s="7">
        <f t="shared" si="3"/>
        <v>-1.188016528925611E-2</v>
      </c>
      <c r="D113" s="7">
        <f t="shared" si="4"/>
        <v>-1.1951298396269312E-2</v>
      </c>
      <c r="E113" s="7">
        <v>25090.7</v>
      </c>
      <c r="F113" s="7">
        <f t="shared" si="5"/>
        <v>4.8981913138206401E-3</v>
      </c>
    </row>
    <row r="114" spans="1:6" x14ac:dyDescent="0.3">
      <c r="A114" s="5">
        <v>45856</v>
      </c>
      <c r="B114" s="6">
        <v>1548.8</v>
      </c>
      <c r="C114" s="7">
        <f t="shared" si="3"/>
        <v>3.1737806852774552E-3</v>
      </c>
      <c r="D114" s="7">
        <f t="shared" si="4"/>
        <v>3.1687548744314962E-3</v>
      </c>
      <c r="E114" s="7">
        <v>24968.400000000001</v>
      </c>
      <c r="F114" s="7">
        <f t="shared" si="5"/>
        <v>-5.6966045369741397E-3</v>
      </c>
    </row>
    <row r="115" spans="1:6" x14ac:dyDescent="0.3">
      <c r="A115" s="5">
        <v>45855</v>
      </c>
      <c r="B115" s="6">
        <v>1543.9</v>
      </c>
      <c r="C115" s="7">
        <f t="shared" si="3"/>
        <v>-1.209367801382126E-2</v>
      </c>
      <c r="D115" s="7">
        <f t="shared" si="4"/>
        <v>-1.2167401533034455E-2</v>
      </c>
      <c r="E115" s="7">
        <v>25111.45</v>
      </c>
      <c r="F115" s="7">
        <f t="shared" si="5"/>
        <v>-3.9901555010401196E-3</v>
      </c>
    </row>
    <row r="116" spans="1:6" x14ac:dyDescent="0.3">
      <c r="A116" s="5">
        <v>45854</v>
      </c>
      <c r="B116" s="6">
        <v>1562.8</v>
      </c>
      <c r="C116" s="7">
        <f t="shared" si="3"/>
        <v>-2.2982635342186771E-3</v>
      </c>
      <c r="D116" s="7">
        <f t="shared" si="4"/>
        <v>-2.3009085953305179E-3</v>
      </c>
      <c r="E116" s="7">
        <v>25212.05</v>
      </c>
      <c r="F116" s="7">
        <f t="shared" si="5"/>
        <v>6.4494876130148681E-4</v>
      </c>
    </row>
    <row r="117" spans="1:6" x14ac:dyDescent="0.3">
      <c r="A117" s="5">
        <v>45853</v>
      </c>
      <c r="B117" s="6">
        <v>1566.4</v>
      </c>
      <c r="C117" s="7">
        <f t="shared" si="3"/>
        <v>-3.2967032967032885E-2</v>
      </c>
      <c r="D117" s="7">
        <f t="shared" si="4"/>
        <v>-3.3522692038643449E-2</v>
      </c>
      <c r="E117" s="7">
        <v>25195.8</v>
      </c>
      <c r="F117" s="7">
        <f t="shared" si="5"/>
        <v>4.5251033597397371E-3</v>
      </c>
    </row>
    <row r="118" spans="1:6" x14ac:dyDescent="0.3">
      <c r="A118" s="5">
        <v>45852</v>
      </c>
      <c r="B118" s="6">
        <v>1619.8</v>
      </c>
      <c r="C118" s="7">
        <f t="shared" si="3"/>
        <v>-1.1292193127021913E-2</v>
      </c>
      <c r="D118" s="7">
        <f t="shared" si="4"/>
        <v>-1.1356434011328185E-2</v>
      </c>
      <c r="E118" s="7">
        <v>25082.3</v>
      </c>
      <c r="F118" s="7">
        <f t="shared" si="5"/>
        <v>-2.6859007111374135E-3</v>
      </c>
    </row>
    <row r="119" spans="1:6" x14ac:dyDescent="0.3">
      <c r="A119" s="5">
        <v>45849</v>
      </c>
      <c r="B119" s="6">
        <v>1638.3</v>
      </c>
      <c r="C119" s="7">
        <f t="shared" si="3"/>
        <v>-1.5267175572519139E-2</v>
      </c>
      <c r="D119" s="7">
        <f t="shared" si="4"/>
        <v>-1.5384918839479456E-2</v>
      </c>
      <c r="E119" s="7">
        <v>25149.85</v>
      </c>
      <c r="F119" s="7">
        <f t="shared" si="5"/>
        <v>-8.1008864041964262E-3</v>
      </c>
    </row>
    <row r="120" spans="1:6" x14ac:dyDescent="0.3">
      <c r="A120" s="5">
        <v>45848</v>
      </c>
      <c r="B120" s="6">
        <v>1663.7</v>
      </c>
      <c r="C120" s="7">
        <f t="shared" si="3"/>
        <v>-6.1529271206690293E-3</v>
      </c>
      <c r="D120" s="7">
        <f t="shared" si="4"/>
        <v>-6.1719343837235005E-3</v>
      </c>
      <c r="E120" s="7">
        <v>25355.25</v>
      </c>
      <c r="F120" s="7">
        <f t="shared" si="5"/>
        <v>-4.7436617064620787E-3</v>
      </c>
    </row>
    <row r="121" spans="1:6" x14ac:dyDescent="0.3">
      <c r="A121" s="5">
        <v>45847</v>
      </c>
      <c r="B121" s="6">
        <v>1674</v>
      </c>
      <c r="C121" s="7">
        <f t="shared" si="3"/>
        <v>-1.9963702359346591E-2</v>
      </c>
      <c r="D121" s="7">
        <f t="shared" si="4"/>
        <v>-2.0165669594594413E-2</v>
      </c>
      <c r="E121" s="7">
        <v>25476.1</v>
      </c>
      <c r="F121" s="7">
        <f t="shared" si="5"/>
        <v>-1.8180037222059538E-3</v>
      </c>
    </row>
    <row r="122" spans="1:6" x14ac:dyDescent="0.3">
      <c r="A122" s="5">
        <v>45846</v>
      </c>
      <c r="B122" s="6">
        <v>1708.1</v>
      </c>
      <c r="C122" s="7">
        <f t="shared" si="3"/>
        <v>-1.3447146866231185E-3</v>
      </c>
      <c r="D122" s="7">
        <f t="shared" si="4"/>
        <v>-1.3456196267658343E-3</v>
      </c>
      <c r="E122" s="7">
        <v>25522.5</v>
      </c>
      <c r="F122" s="7">
        <f t="shared" si="5"/>
        <v>2.4036478891494438E-3</v>
      </c>
    </row>
    <row r="123" spans="1:6" x14ac:dyDescent="0.3">
      <c r="A123" s="5">
        <v>45845</v>
      </c>
      <c r="B123" s="6">
        <v>1710.4</v>
      </c>
      <c r="C123" s="7">
        <f t="shared" si="3"/>
        <v>-8.9808216003244672E-3</v>
      </c>
      <c r="D123" s="7">
        <f t="shared" si="4"/>
        <v>-9.0213922665766336E-3</v>
      </c>
      <c r="E123" s="7">
        <v>25461.3</v>
      </c>
      <c r="F123" s="7">
        <f t="shared" si="5"/>
        <v>1.1782726522888827E-5</v>
      </c>
    </row>
    <row r="124" spans="1:6" x14ac:dyDescent="0.3">
      <c r="A124" s="5">
        <v>45842</v>
      </c>
      <c r="B124" s="6">
        <v>1725.9</v>
      </c>
      <c r="C124" s="7">
        <f t="shared" si="3"/>
        <v>8.1780477831649035E-3</v>
      </c>
      <c r="D124" s="7">
        <f t="shared" si="4"/>
        <v>8.1447887566248548E-3</v>
      </c>
      <c r="E124" s="7">
        <v>25461</v>
      </c>
      <c r="F124" s="7">
        <f t="shared" si="5"/>
        <v>2.1924559048702723E-3</v>
      </c>
    </row>
    <row r="125" spans="1:6" x14ac:dyDescent="0.3">
      <c r="A125" s="5">
        <v>45841</v>
      </c>
      <c r="B125" s="6">
        <v>1711.9</v>
      </c>
      <c r="C125" s="7">
        <f t="shared" si="3"/>
        <v>-3.8985220528335962E-3</v>
      </c>
      <c r="D125" s="7">
        <f t="shared" si="4"/>
        <v>-3.9061410983898407E-3</v>
      </c>
      <c r="E125" s="7">
        <v>25405.3</v>
      </c>
      <c r="F125" s="7">
        <f t="shared" si="5"/>
        <v>-1.8897278948982132E-3</v>
      </c>
    </row>
    <row r="126" spans="1:6" x14ac:dyDescent="0.3">
      <c r="A126" s="5">
        <v>45840</v>
      </c>
      <c r="B126" s="6">
        <v>1718.6</v>
      </c>
      <c r="C126" s="7">
        <f t="shared" si="3"/>
        <v>1.7459116568698977E-4</v>
      </c>
      <c r="D126" s="7">
        <f t="shared" si="4"/>
        <v>1.7457592642313265E-4</v>
      </c>
      <c r="E126" s="7">
        <v>25453.4</v>
      </c>
      <c r="F126" s="7">
        <f t="shared" si="5"/>
        <v>-3.4609933520737702E-3</v>
      </c>
    </row>
    <row r="127" spans="1:6" x14ac:dyDescent="0.3">
      <c r="A127" s="5">
        <v>45839</v>
      </c>
      <c r="B127" s="6">
        <v>1718.3</v>
      </c>
      <c r="C127" s="7"/>
      <c r="D127" s="7"/>
      <c r="E127" s="7">
        <v>25541.8</v>
      </c>
      <c r="F127" s="7" t="e">
        <f t="shared" si="5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3447-6019-4870-88C8-D8A9107AC233}">
  <dimension ref="A1:I18"/>
  <sheetViews>
    <sheetView workbookViewId="0">
      <selection activeCell="F26" sqref="F26"/>
    </sheetView>
  </sheetViews>
  <sheetFormatPr defaultRowHeight="14.4" x14ac:dyDescent="0.3"/>
  <sheetData>
    <row r="1" spans="1:9" x14ac:dyDescent="0.3">
      <c r="A1" t="s">
        <v>16</v>
      </c>
    </row>
    <row r="2" spans="1:9" ht="15" thickBot="1" x14ac:dyDescent="0.35"/>
    <row r="3" spans="1:9" x14ac:dyDescent="0.3">
      <c r="A3" s="3" t="s">
        <v>17</v>
      </c>
      <c r="B3" s="3"/>
    </row>
    <row r="4" spans="1:9" x14ac:dyDescent="0.3">
      <c r="A4" t="s">
        <v>18</v>
      </c>
      <c r="B4">
        <v>0.51880430865122151</v>
      </c>
    </row>
    <row r="5" spans="1:9" x14ac:dyDescent="0.3">
      <c r="A5" t="s">
        <v>19</v>
      </c>
      <c r="B5">
        <v>0.26915791067507194</v>
      </c>
    </row>
    <row r="6" spans="1:9" x14ac:dyDescent="0.3">
      <c r="A6" t="s">
        <v>20</v>
      </c>
      <c r="B6">
        <v>0.26321610507080428</v>
      </c>
    </row>
    <row r="7" spans="1:9" x14ac:dyDescent="0.3">
      <c r="A7" t="s">
        <v>21</v>
      </c>
      <c r="B7">
        <v>1.0521250318209259E-2</v>
      </c>
    </row>
    <row r="8" spans="1:9" ht="15" thickBot="1" x14ac:dyDescent="0.35">
      <c r="A8" s="1" t="s">
        <v>22</v>
      </c>
      <c r="B8" s="1">
        <v>125</v>
      </c>
    </row>
    <row r="10" spans="1:9" ht="15" thickBot="1" x14ac:dyDescent="0.35">
      <c r="A10" t="s">
        <v>23</v>
      </c>
    </row>
    <row r="11" spans="1:9" x14ac:dyDescent="0.3">
      <c r="A11" s="2"/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9" x14ac:dyDescent="0.3">
      <c r="A12" t="s">
        <v>24</v>
      </c>
      <c r="B12">
        <v>1</v>
      </c>
      <c r="C12">
        <v>5.0144512792615892E-3</v>
      </c>
      <c r="D12">
        <v>5.0144512792615892E-3</v>
      </c>
      <c r="E12">
        <v>45.299009863558815</v>
      </c>
      <c r="F12">
        <v>5.7183774080632586E-10</v>
      </c>
    </row>
    <row r="13" spans="1:9" x14ac:dyDescent="0.3">
      <c r="A13" t="s">
        <v>25</v>
      </c>
      <c r="B13">
        <v>123</v>
      </c>
      <c r="C13">
        <v>1.3615695115785469E-2</v>
      </c>
      <c r="D13">
        <v>1.1069670825841844E-4</v>
      </c>
    </row>
    <row r="14" spans="1:9" ht="15" thickBot="1" x14ac:dyDescent="0.35">
      <c r="A14" s="1" t="s">
        <v>26</v>
      </c>
      <c r="B14" s="1">
        <v>124</v>
      </c>
      <c r="C14" s="1">
        <v>1.8630146395047058E-2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33</v>
      </c>
      <c r="C16" s="2" t="s">
        <v>21</v>
      </c>
      <c r="D16" s="2" t="s">
        <v>34</v>
      </c>
      <c r="E16" s="2" t="s">
        <v>35</v>
      </c>
      <c r="F16" s="2" t="s">
        <v>36</v>
      </c>
      <c r="G16" s="2" t="s">
        <v>37</v>
      </c>
      <c r="H16" s="2" t="s">
        <v>38</v>
      </c>
      <c r="I16" s="2" t="s">
        <v>39</v>
      </c>
    </row>
    <row r="17" spans="1:9" x14ac:dyDescent="0.3">
      <c r="A17" t="s">
        <v>27</v>
      </c>
      <c r="B17">
        <v>-6.271787887490957E-4</v>
      </c>
      <c r="C17">
        <v>9.4176280009220664E-4</v>
      </c>
      <c r="D17">
        <v>-0.66596258493931759</v>
      </c>
      <c r="E17">
        <v>0.50668207876227711</v>
      </c>
      <c r="F17">
        <v>-2.4913405074334025E-3</v>
      </c>
      <c r="G17">
        <v>1.2369829299352108E-3</v>
      </c>
      <c r="H17">
        <v>-2.4913405074334025E-3</v>
      </c>
      <c r="I17">
        <v>1.2369829299352108E-3</v>
      </c>
    </row>
    <row r="18" spans="1:9" ht="15" thickBot="1" x14ac:dyDescent="0.35">
      <c r="A18" s="1" t="s">
        <v>40</v>
      </c>
      <c r="B18" s="1">
        <v>1.268359266298436</v>
      </c>
      <c r="C18" s="1">
        <v>0.18845077655297351</v>
      </c>
      <c r="D18" s="1">
        <v>6.7304539121487794</v>
      </c>
      <c r="E18" s="1">
        <v>5.7183774080632586E-10</v>
      </c>
      <c r="F18" s="1">
        <v>0.89533250895360583</v>
      </c>
      <c r="G18" s="1">
        <v>1.6413860236432662</v>
      </c>
      <c r="H18" s="1">
        <v>0.89533250895360583</v>
      </c>
      <c r="I18" s="1">
        <v>1.6413860236432662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C96B-B674-470D-A2C2-253330FE04B9}">
  <dimension ref="B2:D6"/>
  <sheetViews>
    <sheetView tabSelected="1" workbookViewId="0">
      <selection activeCell="C3" sqref="C3"/>
    </sheetView>
  </sheetViews>
  <sheetFormatPr defaultRowHeight="14.4" x14ac:dyDescent="0.3"/>
  <cols>
    <col min="2" max="2" width="28.6640625" customWidth="1"/>
    <col min="3" max="3" width="16.21875" customWidth="1"/>
    <col min="4" max="4" width="14.5546875" bestFit="1" customWidth="1"/>
  </cols>
  <sheetData>
    <row r="2" spans="2:4" x14ac:dyDescent="0.3">
      <c r="B2" s="8" t="s">
        <v>41</v>
      </c>
      <c r="C2" s="8" t="s">
        <v>12</v>
      </c>
      <c r="D2" s="8" t="s">
        <v>42</v>
      </c>
    </row>
    <row r="3" spans="2:4" x14ac:dyDescent="0.3">
      <c r="B3" s="7" t="s">
        <v>43</v>
      </c>
      <c r="C3" s="7">
        <v>0.13758863599999999</v>
      </c>
      <c r="D3" s="7">
        <v>-4.7940690000000001E-2</v>
      </c>
    </row>
    <row r="4" spans="2:4" x14ac:dyDescent="0.3">
      <c r="B4" s="7" t="s">
        <v>44</v>
      </c>
      <c r="C4" s="7">
        <v>0.20598361400000001</v>
      </c>
      <c r="D4" s="7">
        <v>8.4503655999999996E-2</v>
      </c>
    </row>
    <row r="5" spans="2:4" x14ac:dyDescent="0.3">
      <c r="B5" s="7" t="s">
        <v>45</v>
      </c>
      <c r="C5" s="7">
        <v>0.11826613399999999</v>
      </c>
      <c r="D5" s="7">
        <v>7.9295239000000003E-2</v>
      </c>
    </row>
    <row r="6" spans="2:4" x14ac:dyDescent="0.3">
      <c r="B6" s="7" t="s">
        <v>46</v>
      </c>
      <c r="C6" s="7">
        <v>0.118821074</v>
      </c>
      <c r="D6" s="7">
        <v>-8.7070440000000006E-3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HCL+NIFTY close data+formulas</vt:lpstr>
      <vt:lpstr>Regression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SANCHARITA BISWAS</dc:creator>
  <cp:lastModifiedBy>SANCHARITA BISWAS</cp:lastModifiedBy>
  <dcterms:created xsi:type="dcterms:W3CDTF">2026-01-23T07:50:14Z</dcterms:created>
  <dcterms:modified xsi:type="dcterms:W3CDTF">2026-01-25T15:58:01Z</dcterms:modified>
</cp:coreProperties>
</file>